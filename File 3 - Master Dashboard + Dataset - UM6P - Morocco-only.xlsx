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mane.HASSANI\Downloads\"/>
    </mc:Choice>
  </mc:AlternateContent>
  <xr:revisionPtr revIDLastSave="0" documentId="13_ncr:1_{48E4FBEA-B0CB-4710-A683-3ABA3D9F9E42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📊 Dashboard" sheetId="28" r:id="rId1"/>
    <sheet name="BREVETS PAR PAYS DASHBOARD" sheetId="30" r:id="rId2"/>
    <sheet name="📋 Inventaire Complet" sheetId="1" r:id="rId3"/>
    <sheet name="📊 Synthèse Thématique" sheetId="2" r:id="rId4"/>
    <sheet name="🔬 Synthèse par Lab." sheetId="3" r:id="rId5"/>
    <sheet name="🌍 Env. Tech &amp; Digital" sheetId="4" r:id="rId6"/>
    <sheet name="⚙️ Mineral Processing" sheetId="5" r:id="rId7"/>
    <sheet name="♻️ Circular Chemistry" sheetId="6" r:id="rId8"/>
    <sheet name="🌱 Green Agriculture" sheetId="7" r:id="rId9"/>
    <sheet name="⚡ Energy &amp; Storage" sheetId="8" r:id="rId10"/>
    <sheet name="🔬 MAScIR" sheetId="9" r:id="rId11"/>
    <sheet name="🔬 MSN" sheetId="10" r:id="rId12"/>
    <sheet name="🔬 CBS" sheetId="11" r:id="rId13"/>
    <sheet name="🔬 ACER CoE" sheetId="12" r:id="rId14"/>
    <sheet name="🔬 ASARI" sheetId="13" r:id="rId15"/>
    <sheet name="🔬 DICE" sheetId="14" r:id="rId16"/>
    <sheet name="🔬 GTI" sheetId="15" r:id="rId17"/>
    <sheet name="🔬 GSMI" sheetId="16" r:id="rId18"/>
    <sheet name="🔬 LIMSET" sheetId="17" r:id="rId19"/>
    <sheet name="🔬 TechCell" sheetId="18" r:id="rId20"/>
    <sheet name="🔬 ILO" sheetId="19" r:id="rId21"/>
    <sheet name="🔬 Al-Moutmir" sheetId="20" r:id="rId22"/>
    <sheet name="🔬 D4R" sheetId="21" r:id="rId23"/>
    <sheet name="🔬 HTMR" sheetId="22" r:id="rId24"/>
    <sheet name="🔬 CEPH" sheetId="23" r:id="rId25"/>
    <sheet name="🔬 ISTI" sheetId="24" r:id="rId26"/>
    <sheet name="🔬 COLCOM" sheetId="25" r:id="rId27"/>
    <sheet name="🔬 OCP | CERPHOS (historique)" sheetId="26" r:id="rId28"/>
    <sheet name="🔬 CERPHOS (historique)" sheetId="27" r:id="rId29"/>
  </sheets>
  <definedNames>
    <definedName name="_xlnm._FilterDatabase" localSheetId="7" hidden="1">'♻️ Circular Chemistry'!$A$2:$R$2</definedName>
    <definedName name="_xlnm._FilterDatabase" localSheetId="9" hidden="1">'⚡ Energy &amp; Storage'!$A$2:$R$2</definedName>
    <definedName name="_xlnm._FilterDatabase" localSheetId="6" hidden="1">'⚙️ Mineral Processing'!$A$2:$R$2</definedName>
    <definedName name="_xlnm._FilterDatabase" localSheetId="1" hidden="1">'BREVETS PAR PAYS DASHBOARD'!$A$5:$E$14</definedName>
    <definedName name="_xlnm._FilterDatabase" localSheetId="5" hidden="1">'🌍 Env. Tech &amp; Digital'!$A$2:$R$2</definedName>
    <definedName name="_xlnm._FilterDatabase" localSheetId="8" hidden="1">'🌱 Green Agriculture'!$A$2:$R$2</definedName>
    <definedName name="_xlnm._FilterDatabase" localSheetId="2" hidden="1">'📋 Inventaire Complet'!$A$2:$R$433</definedName>
    <definedName name="_xlnm._FilterDatabase" localSheetId="13" hidden="1">'🔬 ACER CoE'!$A$2:$R$2</definedName>
    <definedName name="_xlnm._FilterDatabase" localSheetId="21" hidden="1">'🔬 Al-Moutmir'!$A$2:$R$2</definedName>
    <definedName name="_xlnm._FilterDatabase" localSheetId="14" hidden="1">'🔬 ASARI'!$A$2:$R$2</definedName>
    <definedName name="_xlnm._FilterDatabase" localSheetId="12" hidden="1">'🔬 CBS'!$A$2:$R$2</definedName>
    <definedName name="_xlnm._FilterDatabase" localSheetId="24" hidden="1">'🔬 CEPH'!$A$2:$R$2</definedName>
    <definedName name="_xlnm._FilterDatabase" localSheetId="28" hidden="1">'🔬 CERPHOS (historique)'!$A$2:$R$2</definedName>
    <definedName name="_xlnm._FilterDatabase" localSheetId="26" hidden="1">'🔬 COLCOM'!$A$2:$R$2</definedName>
    <definedName name="_xlnm._FilterDatabase" localSheetId="22" hidden="1">'🔬 D4R'!$A$2:$R$2</definedName>
    <definedName name="_xlnm._FilterDatabase" localSheetId="15" hidden="1">'🔬 DICE'!$A$2:$R$2</definedName>
    <definedName name="_xlnm._FilterDatabase" localSheetId="17" hidden="1">'🔬 GSMI'!$A$2:$R$2</definedName>
    <definedName name="_xlnm._FilterDatabase" localSheetId="16" hidden="1">'🔬 GTI'!$A$2:$R$2</definedName>
    <definedName name="_xlnm._FilterDatabase" localSheetId="23" hidden="1">'🔬 HTMR'!$A$2:$R$2</definedName>
    <definedName name="_xlnm._FilterDatabase" localSheetId="20" hidden="1">'🔬 ILO'!$A$2:$R$2</definedName>
    <definedName name="_xlnm._FilterDatabase" localSheetId="25" hidden="1">'🔬 ISTI'!$A$2:$R$2</definedName>
    <definedName name="_xlnm._FilterDatabase" localSheetId="18" hidden="1">'🔬 LIMSET'!$A$2:$R$2</definedName>
    <definedName name="_xlnm._FilterDatabase" localSheetId="10" hidden="1">'🔬 MAScIR'!$A$2:$R$2</definedName>
    <definedName name="_xlnm._FilterDatabase" localSheetId="11" hidden="1">'🔬 MSN'!$A$2:$R$2</definedName>
    <definedName name="_xlnm._FilterDatabase" localSheetId="27" hidden="1">'🔬 OCP | CERPHOS (historique)'!$A$2:$R$2</definedName>
    <definedName name="_xlnm._FilterDatabase" localSheetId="19" hidden="1">'🔬 TechCell'!$A$2:$R$2</definedName>
    <definedName name="_xlnm.Print_Area" localSheetId="0">'📊 Dashboard'!$A$1:$K$180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0" i="28" l="1"/>
  <c r="AA181" i="28"/>
  <c r="AA182" i="28"/>
  <c r="AA183" i="28"/>
  <c r="AA184" i="28"/>
  <c r="AA185" i="28"/>
  <c r="AA186" i="28"/>
  <c r="AA187" i="28"/>
  <c r="AA188" i="28"/>
  <c r="AA189" i="28"/>
  <c r="AA190" i="28"/>
  <c r="AA191" i="28"/>
  <c r="AA192" i="28"/>
  <c r="AA193" i="28"/>
  <c r="AA194" i="28"/>
  <c r="AA195" i="28"/>
  <c r="AA196" i="28"/>
  <c r="AA197" i="28"/>
  <c r="AA198" i="28"/>
  <c r="AA199" i="28"/>
  <c r="AA200" i="28"/>
  <c r="AA201" i="28"/>
  <c r="AA202" i="28"/>
  <c r="AA203" i="28"/>
  <c r="AA204" i="28"/>
  <c r="AA205" i="28"/>
  <c r="AA206" i="28"/>
  <c r="AA207" i="28"/>
  <c r="AA208" i="28"/>
  <c r="AA209" i="28"/>
  <c r="AA210" i="28"/>
  <c r="AA211" i="28"/>
  <c r="AA212" i="28"/>
  <c r="AA213" i="28"/>
  <c r="AA214" i="28"/>
  <c r="AA215" i="28"/>
  <c r="AA216" i="28"/>
  <c r="AA217" i="28"/>
  <c r="AA218" i="28"/>
  <c r="Z2" i="28" a="1"/>
  <c r="AA2" i="28" s="1"/>
  <c r="Z3" i="28" a="1"/>
  <c r="AA3" i="28" s="1"/>
  <c r="Z4" i="28" a="1"/>
  <c r="AA4" i="28" s="1"/>
  <c r="Z5" i="28" a="1"/>
  <c r="AA5" i="28" s="1"/>
  <c r="Z6" i="28" a="1"/>
  <c r="AA6" i="28" s="1"/>
  <c r="Z7" i="28" a="1"/>
  <c r="AA7" i="28" s="1"/>
  <c r="Z8" i="28" a="1"/>
  <c r="AA8" i="28" s="1"/>
  <c r="Z9" i="28" a="1"/>
  <c r="AA9" i="28" s="1"/>
  <c r="Z10" i="28" a="1"/>
  <c r="AA10" i="28" s="1"/>
  <c r="Z11" i="28" a="1"/>
  <c r="AA11" i="28" s="1"/>
  <c r="Z12" i="28" a="1"/>
  <c r="AA12" i="28" s="1"/>
  <c r="Z13" i="28" a="1"/>
  <c r="AA13" i="28" s="1"/>
  <c r="Z14" i="28" a="1"/>
  <c r="AA14" i="28" s="1"/>
  <c r="Z15" i="28" a="1"/>
  <c r="AA15" i="28" s="1"/>
  <c r="Z16" i="28" a="1"/>
  <c r="AA16" i="28" s="1"/>
  <c r="Z17" i="28" a="1"/>
  <c r="AA17" i="28" s="1"/>
  <c r="Z18" i="28" a="1"/>
  <c r="AA18" i="28" s="1"/>
  <c r="Z19" i="28" a="1"/>
  <c r="AA19" i="28" s="1"/>
  <c r="Z20" i="28" a="1"/>
  <c r="AA20" i="28" s="1"/>
  <c r="Z21" i="28" a="1"/>
  <c r="AA21" i="28" s="1"/>
  <c r="Z22" i="28" a="1"/>
  <c r="AA22" i="28" s="1"/>
  <c r="Z23" i="28" a="1"/>
  <c r="AA23" i="28" s="1"/>
  <c r="Z24" i="28" a="1"/>
  <c r="AA24" i="28" s="1"/>
  <c r="Z25" i="28" a="1"/>
  <c r="AA25" i="28" s="1"/>
  <c r="Z26" i="28" a="1"/>
  <c r="AA26" i="28" s="1"/>
  <c r="Z27" i="28" a="1"/>
  <c r="AA27" i="28" s="1"/>
  <c r="Z28" i="28" a="1"/>
  <c r="AA28" i="28" s="1"/>
  <c r="Z29" i="28" a="1"/>
  <c r="AA29" i="28" s="1"/>
  <c r="Z30" i="28" a="1"/>
  <c r="AA30" i="28" s="1"/>
  <c r="Z31" i="28" a="1"/>
  <c r="AA31" i="28" s="1"/>
  <c r="Z32" i="28" a="1"/>
  <c r="AA32" i="28" s="1"/>
  <c r="Z33" i="28" a="1"/>
  <c r="AA33" i="28" s="1"/>
  <c r="Z34" i="28" a="1"/>
  <c r="AA34" i="28" s="1"/>
  <c r="Z35" i="28" a="1"/>
  <c r="AA35" i="28" s="1"/>
  <c r="Z36" i="28" a="1"/>
  <c r="AA36" i="28" s="1"/>
  <c r="Z37" i="28" a="1"/>
  <c r="AA37" i="28" s="1"/>
  <c r="Z38" i="28" a="1"/>
  <c r="AA38" i="28" s="1"/>
  <c r="Z39" i="28" a="1"/>
  <c r="AA39" i="28" s="1"/>
  <c r="Z40" i="28" a="1"/>
  <c r="AA40" i="28" s="1"/>
  <c r="Z41" i="28" a="1"/>
  <c r="AA41" i="28" s="1"/>
  <c r="Z42" i="28" a="1"/>
  <c r="AA42" i="28" s="1"/>
  <c r="Z43" i="28" a="1"/>
  <c r="AA43" i="28" s="1"/>
  <c r="Z44" i="28" a="1"/>
  <c r="AA44" i="28" s="1"/>
  <c r="Z45" i="28" a="1"/>
  <c r="AA45" i="28" s="1"/>
  <c r="Z46" i="28" a="1"/>
  <c r="AA46" i="28" s="1"/>
  <c r="Z47" i="28" a="1"/>
  <c r="AA47" i="28" s="1"/>
  <c r="Z48" i="28" a="1"/>
  <c r="AA48" i="28" s="1"/>
  <c r="Z49" i="28" a="1"/>
  <c r="AA49" i="28" s="1"/>
  <c r="Z50" i="28" a="1"/>
  <c r="AA50" i="28" s="1"/>
  <c r="Z51" i="28" a="1"/>
  <c r="AA51" i="28" s="1"/>
  <c r="Z52" i="28" a="1"/>
  <c r="AA52" i="28" s="1"/>
  <c r="Z53" i="28" a="1"/>
  <c r="AA53" i="28" s="1"/>
  <c r="Z54" i="28" a="1"/>
  <c r="AA54" i="28" s="1"/>
  <c r="Z55" i="28" a="1"/>
  <c r="AA55" i="28" s="1"/>
  <c r="Z56" i="28" a="1"/>
  <c r="AA56" i="28" s="1"/>
  <c r="Z57" i="28" a="1"/>
  <c r="AA57" i="28" s="1"/>
  <c r="Z58" i="28" a="1"/>
  <c r="AA58" i="28" s="1"/>
  <c r="Z59" i="28" a="1"/>
  <c r="AA59" i="28" s="1"/>
  <c r="Z60" i="28" a="1"/>
  <c r="AA60" i="28" s="1"/>
  <c r="Z61" i="28" a="1"/>
  <c r="AA61" i="28" s="1"/>
  <c r="Z62" i="28" a="1"/>
  <c r="AA62" i="28" s="1"/>
  <c r="Z63" i="28" a="1"/>
  <c r="AA63" i="28" s="1"/>
  <c r="Z64" i="28" a="1"/>
  <c r="AA64" i="28" s="1"/>
  <c r="Z65" i="28" a="1"/>
  <c r="AA65" i="28" s="1"/>
  <c r="Z66" i="28" a="1"/>
  <c r="AA66" i="28" s="1"/>
  <c r="Z67" i="28" a="1"/>
  <c r="AA67" i="28" s="1"/>
  <c r="Z68" i="28" a="1"/>
  <c r="AA68" i="28" s="1"/>
  <c r="Z69" i="28" a="1"/>
  <c r="AA69" i="28" s="1"/>
  <c r="Z70" i="28" a="1"/>
  <c r="AA70" i="28" s="1"/>
  <c r="Z71" i="28" a="1"/>
  <c r="AA71" i="28" s="1"/>
  <c r="Z72" i="28" a="1"/>
  <c r="AA72" i="28" s="1"/>
  <c r="Z73" i="28" a="1"/>
  <c r="AA73" i="28" s="1"/>
  <c r="Z74" i="28" a="1"/>
  <c r="AA74" i="28" s="1"/>
  <c r="Z75" i="28" a="1"/>
  <c r="AA75" i="28" s="1"/>
  <c r="Z76" i="28" a="1"/>
  <c r="AA76" i="28" s="1"/>
  <c r="Z77" i="28" a="1"/>
  <c r="AA77" i="28" s="1"/>
  <c r="Z78" i="28" a="1"/>
  <c r="AA78" i="28" s="1"/>
  <c r="Z79" i="28" a="1"/>
  <c r="AA79" i="28" s="1"/>
  <c r="Z80" i="28" a="1"/>
  <c r="AA80" i="28" s="1"/>
  <c r="Z81" i="28" a="1"/>
  <c r="AA81" i="28" s="1"/>
  <c r="Z82" i="28" a="1"/>
  <c r="AA82" i="28" s="1"/>
  <c r="Z83" i="28" a="1"/>
  <c r="AA83" i="28" s="1"/>
  <c r="Z84" i="28" a="1"/>
  <c r="AA84" i="28" s="1"/>
  <c r="Z85" i="28" a="1"/>
  <c r="AA85" i="28" s="1"/>
  <c r="Z86" i="28" a="1"/>
  <c r="AA86" i="28" s="1"/>
  <c r="Z87" i="28" a="1"/>
  <c r="AA87" i="28" s="1"/>
  <c r="Z88" i="28" a="1"/>
  <c r="AA88" i="28" s="1"/>
  <c r="Z89" i="28" a="1"/>
  <c r="AA89" i="28" s="1"/>
  <c r="Z90" i="28" a="1"/>
  <c r="AA90" i="28" s="1"/>
  <c r="Z91" i="28" a="1"/>
  <c r="AA91" i="28" s="1"/>
  <c r="Z92" i="28" a="1"/>
  <c r="AA92" i="28" s="1"/>
  <c r="Z93" i="28" a="1"/>
  <c r="AA93" i="28" s="1"/>
  <c r="Z94" i="28" a="1"/>
  <c r="AA94" i="28" s="1"/>
  <c r="Z95" i="28" a="1"/>
  <c r="AA95" i="28" s="1"/>
  <c r="Z96" i="28" a="1"/>
  <c r="AA96" i="28" s="1"/>
  <c r="Z97" i="28" a="1"/>
  <c r="AA97" i="28" s="1"/>
  <c r="Z98" i="28" a="1"/>
  <c r="AA98" i="28" s="1"/>
  <c r="Z99" i="28" a="1"/>
  <c r="AA99" i="28" s="1"/>
  <c r="Z100" i="28" a="1"/>
  <c r="AA100" i="28" s="1"/>
  <c r="Z101" i="28" a="1"/>
  <c r="AA101" i="28" s="1"/>
  <c r="Z102" i="28" a="1"/>
  <c r="AA102" i="28" s="1"/>
  <c r="Z103" i="28" a="1"/>
  <c r="AA103" i="28" s="1"/>
  <c r="Z104" i="28" a="1"/>
  <c r="AA104" i="28" s="1"/>
  <c r="Z105" i="28" a="1"/>
  <c r="AA105" i="28" s="1"/>
  <c r="Z106" i="28" a="1"/>
  <c r="AA106" i="28" s="1"/>
  <c r="Z107" i="28" a="1"/>
  <c r="AA107" i="28" s="1"/>
  <c r="Z108" i="28" a="1"/>
  <c r="AA108" i="28" s="1"/>
  <c r="Z109" i="28" a="1"/>
  <c r="AA109" i="28" s="1"/>
  <c r="Z110" i="28" a="1"/>
  <c r="AA110" i="28" s="1"/>
  <c r="Z111" i="28" a="1"/>
  <c r="AA111" i="28" s="1"/>
  <c r="Z112" i="28" a="1"/>
  <c r="AA112" i="28" s="1"/>
  <c r="Z113" i="28" a="1"/>
  <c r="AA113" i="28" s="1"/>
  <c r="Z114" i="28" a="1"/>
  <c r="AA114" i="28" s="1"/>
  <c r="Z115" i="28" a="1"/>
  <c r="AA115" i="28" s="1"/>
  <c r="Z116" i="28" a="1"/>
  <c r="AA116" i="28" s="1"/>
  <c r="Z117" i="28" a="1"/>
  <c r="AA117" i="28" s="1"/>
  <c r="Z118" i="28" a="1"/>
  <c r="AA118" i="28" s="1"/>
  <c r="Z119" i="28" a="1"/>
  <c r="AA119" i="28" s="1"/>
  <c r="Z120" i="28" a="1"/>
  <c r="AA120" i="28" s="1"/>
  <c r="Z121" i="28" a="1"/>
  <c r="AA121" i="28" s="1"/>
  <c r="Z122" i="28" a="1"/>
  <c r="AA122" i="28" s="1"/>
  <c r="Z123" i="28" a="1"/>
  <c r="AA123" i="28" s="1"/>
  <c r="Z124" i="28" a="1"/>
  <c r="AA124" i="28" s="1"/>
  <c r="Z125" i="28" a="1"/>
  <c r="AA125" i="28" s="1"/>
  <c r="Z126" i="28" a="1"/>
  <c r="AA126" i="28" s="1"/>
  <c r="Z127" i="28" a="1"/>
  <c r="AA127" i="28" s="1"/>
  <c r="Z128" i="28" a="1"/>
  <c r="AA128" i="28" s="1"/>
  <c r="Z129" i="28" a="1"/>
  <c r="AA129" i="28" s="1"/>
  <c r="Z130" i="28" a="1"/>
  <c r="AA130" i="28" s="1"/>
  <c r="Z131" i="28" a="1"/>
  <c r="AA131" i="28" s="1"/>
  <c r="Z132" i="28" a="1"/>
  <c r="AA132" i="28" s="1"/>
  <c r="Z133" i="28" a="1"/>
  <c r="AA133" i="28" s="1"/>
  <c r="Z134" i="28" a="1"/>
  <c r="AA134" i="28" s="1"/>
  <c r="Z135" i="28" a="1"/>
  <c r="AA135" i="28" s="1"/>
  <c r="Z136" i="28" a="1"/>
  <c r="AA136" i="28" s="1"/>
  <c r="Z137" i="28" a="1"/>
  <c r="AA137" i="28" s="1"/>
  <c r="Z138" i="28" a="1"/>
  <c r="AA138" i="28" s="1"/>
  <c r="Z139" i="28" a="1"/>
  <c r="AA139" i="28" s="1"/>
  <c r="Z140" i="28" a="1"/>
  <c r="AA140" i="28" s="1"/>
  <c r="Z141" i="28" a="1"/>
  <c r="AA141" i="28" s="1"/>
  <c r="Z142" i="28" a="1"/>
  <c r="AA142" i="28" s="1"/>
  <c r="Z143" i="28" a="1"/>
  <c r="AA143" i="28" s="1"/>
  <c r="Z144" i="28" a="1"/>
  <c r="AA144" i="28" s="1"/>
  <c r="Z145" i="28" a="1"/>
  <c r="AA145" i="28" s="1"/>
  <c r="Z146" i="28" a="1"/>
  <c r="AA146" i="28" s="1"/>
  <c r="Z147" i="28" a="1"/>
  <c r="AA147" i="28" s="1"/>
  <c r="Z148" i="28" a="1"/>
  <c r="AA148" i="28" s="1"/>
  <c r="Z149" i="28" a="1"/>
  <c r="AA149" i="28" s="1"/>
  <c r="Z150" i="28" a="1"/>
  <c r="AA150" i="28" s="1"/>
  <c r="Z151" i="28" a="1"/>
  <c r="AA151" i="28" s="1"/>
  <c r="Z152" i="28" a="1"/>
  <c r="AA152" i="28" s="1"/>
  <c r="Z153" i="28" a="1"/>
  <c r="AA153" i="28" s="1"/>
  <c r="Z154" i="28" a="1"/>
  <c r="AA154" i="28" s="1"/>
  <c r="Z155" i="28" a="1"/>
  <c r="AA155" i="28" s="1"/>
  <c r="Z156" i="28" a="1"/>
  <c r="AA156" i="28" s="1"/>
  <c r="Z157" i="28" a="1"/>
  <c r="AA157" i="28" s="1"/>
  <c r="Z158" i="28" a="1"/>
  <c r="AA158" i="28" s="1"/>
  <c r="Z159" i="28" a="1"/>
  <c r="AA159" i="28" s="1"/>
  <c r="Z160" i="28" a="1"/>
  <c r="AA160" i="28" s="1"/>
  <c r="Z161" i="28" a="1"/>
  <c r="AA161" i="28" s="1"/>
  <c r="Z162" i="28" a="1"/>
  <c r="AA162" i="28" s="1"/>
  <c r="Z163" i="28" a="1"/>
  <c r="AA163" i="28" s="1"/>
  <c r="Z164" i="28" a="1"/>
  <c r="AA164" i="28" s="1"/>
  <c r="Z165" i="28" a="1"/>
  <c r="AA165" i="28" s="1"/>
  <c r="Z166" i="28" a="1"/>
  <c r="AA166" i="28" s="1"/>
  <c r="Z167" i="28" a="1"/>
  <c r="AA167" i="28" s="1"/>
  <c r="Z168" i="28" a="1"/>
  <c r="AA168" i="28" s="1"/>
  <c r="Z169" i="28" a="1"/>
  <c r="AA169" i="28" s="1"/>
  <c r="Z170" i="28" a="1"/>
  <c r="AA170" i="28" s="1"/>
  <c r="Z171" i="28" a="1"/>
  <c r="AA171" i="28" s="1"/>
  <c r="Z172" i="28" a="1"/>
  <c r="AA172" i="28" s="1"/>
  <c r="Z173" i="28" a="1"/>
  <c r="AA173" i="28" s="1"/>
  <c r="Z174" i="28" a="1"/>
  <c r="AA174" i="28" s="1"/>
  <c r="Z175" i="28" a="1"/>
  <c r="AA175" i="28" s="1"/>
  <c r="Z176" i="28" a="1"/>
  <c r="AA176" i="28" s="1"/>
  <c r="Z177" i="28" a="1"/>
  <c r="AA177" i="28" s="1"/>
  <c r="Z178" i="28" a="1"/>
  <c r="AA178" i="28" s="1"/>
  <c r="Z179" i="28" a="1"/>
  <c r="AA179" i="28" s="1"/>
  <c r="Z180" i="28" a="1"/>
  <c r="Z181" i="28" a="1"/>
  <c r="Z182" i="28" a="1"/>
  <c r="Z183" i="28" a="1"/>
  <c r="Z184" i="28" a="1"/>
  <c r="Z185" i="28" a="1"/>
  <c r="Z186" i="28" a="1"/>
  <c r="Z187" i="28" a="1"/>
  <c r="Z188" i="28" a="1"/>
  <c r="Z189" i="28" a="1"/>
  <c r="Z190" i="28" a="1"/>
  <c r="Z191" i="28" a="1"/>
  <c r="Z192" i="28" a="1"/>
  <c r="Z193" i="28" a="1"/>
  <c r="Z194" i="28" a="1"/>
  <c r="Z195" i="28" a="1"/>
  <c r="Z196" i="28" a="1"/>
  <c r="Z197" i="28" a="1"/>
  <c r="Z198" i="28" a="1"/>
  <c r="Z199" i="28" a="1"/>
  <c r="Z200" i="28" a="1"/>
  <c r="Z201" i="28" a="1"/>
  <c r="Z202" i="28" a="1"/>
  <c r="Z203" i="28" a="1"/>
  <c r="Z204" i="28" a="1"/>
  <c r="Z205" i="28" a="1"/>
  <c r="Z206" i="28" a="1"/>
  <c r="Z207" i="28" a="1"/>
  <c r="Z208" i="28" a="1"/>
  <c r="Z209" i="28" a="1"/>
  <c r="Z210" i="28" a="1"/>
  <c r="Z211" i="28" a="1"/>
  <c r="Z212" i="28" a="1"/>
  <c r="Z213" i="28" a="1"/>
  <c r="Z214" i="28" a="1"/>
  <c r="Z215" i="28" a="1"/>
  <c r="Z216" i="28" a="1"/>
  <c r="Z217" i="28" a="1"/>
  <c r="Z218" i="28" a="1"/>
  <c r="Z1" i="28" a="1"/>
  <c r="AA1" i="28" s="1"/>
  <c r="W86" i="28" a="1"/>
  <c r="X86" i="28" s="1"/>
  <c r="W87" i="28" a="1"/>
  <c r="X87" i="28" s="1"/>
  <c r="W88" i="28" a="1"/>
  <c r="X88" i="28" s="1"/>
  <c r="W89" i="28" a="1"/>
  <c r="X89" i="28" s="1"/>
  <c r="W90" i="28" a="1"/>
  <c r="X90" i="28" s="1"/>
  <c r="W91" i="28" a="1"/>
  <c r="X91" i="28" s="1"/>
  <c r="W92" i="28" a="1"/>
  <c r="X92" i="28" s="1"/>
  <c r="W93" i="28" a="1"/>
  <c r="X93" i="28" s="1"/>
  <c r="W94" i="28" a="1"/>
  <c r="X94" i="28" s="1"/>
  <c r="W95" i="28" a="1"/>
  <c r="X95" i="28" s="1"/>
  <c r="W96" i="28" a="1"/>
  <c r="X96" i="28" s="1"/>
  <c r="W97" i="28" a="1"/>
  <c r="X97" i="28" s="1"/>
  <c r="W98" i="28" a="1"/>
  <c r="X98" i="28" s="1"/>
  <c r="W26" i="28" a="1"/>
  <c r="X26" i="28" s="1"/>
  <c r="W27" i="28" a="1"/>
  <c r="X27" i="28" s="1"/>
  <c r="A28" i="28" a="1"/>
  <c r="B28" i="28" a="1"/>
  <c r="C28" i="28" a="1"/>
  <c r="D28" i="28" a="1"/>
  <c r="E28" i="28" a="1"/>
  <c r="F28" i="28" a="1"/>
  <c r="G28" i="28" a="1"/>
  <c r="H28" i="28" a="1"/>
  <c r="W28" i="28" a="1"/>
  <c r="X28" i="28" s="1"/>
  <c r="W29" i="28" a="1"/>
  <c r="X29" i="28" s="1"/>
  <c r="W30" i="28" a="1"/>
  <c r="X30" i="28" s="1"/>
  <c r="A31" i="28" a="1"/>
  <c r="B31" i="28" a="1"/>
  <c r="D31" i="28" a="1"/>
  <c r="W31" i="28" a="1"/>
  <c r="X31" i="28" s="1"/>
  <c r="W32" i="28" a="1"/>
  <c r="X32" i="28" s="1"/>
  <c r="W33" i="28" a="1"/>
  <c r="X33" i="28" s="1"/>
  <c r="W34" i="28" a="1"/>
  <c r="X34" i="28" s="1"/>
  <c r="B35" i="28" a="1"/>
  <c r="F35" i="28" a="1"/>
  <c r="J35" i="28" a="1"/>
  <c r="W35" i="28" a="1"/>
  <c r="X35" i="28" s="1"/>
  <c r="B36" i="28" a="1"/>
  <c r="F36" i="28" a="1"/>
  <c r="J36" i="28" a="1"/>
  <c r="W36" i="28" a="1"/>
  <c r="X36" i="28" s="1"/>
  <c r="B37" i="28" a="1"/>
  <c r="F37" i="28" a="1"/>
  <c r="J37" i="28" a="1"/>
  <c r="W37" i="28" a="1"/>
  <c r="X37" i="28" s="1"/>
  <c r="B38" i="28" a="1"/>
  <c r="F38" i="28" a="1"/>
  <c r="J38" i="28" a="1"/>
  <c r="W38" i="28" a="1"/>
  <c r="X38" i="28" s="1"/>
  <c r="B39" i="28" a="1"/>
  <c r="F39" i="28" a="1"/>
  <c r="J39" i="28" a="1"/>
  <c r="W39" i="28" a="1"/>
  <c r="X39" i="28" s="1"/>
  <c r="F40" i="28" a="1"/>
  <c r="J40" i="28" a="1"/>
  <c r="W40" i="28" a="1"/>
  <c r="X40" i="28" s="1"/>
  <c r="F41" i="28" a="1"/>
  <c r="J41" i="28" a="1"/>
  <c r="W41" i="28" a="1"/>
  <c r="X41" i="28" s="1"/>
  <c r="F42" i="28" a="1"/>
  <c r="W42" i="28" a="1"/>
  <c r="X42" i="28" s="1"/>
  <c r="F43" i="28" a="1"/>
  <c r="W43" i="28" a="1"/>
  <c r="X43" i="28" s="1"/>
  <c r="F44" i="28" a="1"/>
  <c r="W44" i="28" a="1"/>
  <c r="X44" i="28" s="1"/>
  <c r="F45" i="28" a="1"/>
  <c r="W45" i="28" a="1"/>
  <c r="X45" i="28" s="1"/>
  <c r="F46" i="28" a="1"/>
  <c r="W46" i="28" a="1"/>
  <c r="X46" i="28" s="1"/>
  <c r="F47" i="28" a="1"/>
  <c r="W47" i="28" a="1"/>
  <c r="X47" i="28" s="1"/>
  <c r="F48" i="28" a="1"/>
  <c r="W48" i="28" a="1"/>
  <c r="X48" i="28" s="1"/>
  <c r="F49" i="28" a="1"/>
  <c r="W49" i="28" a="1"/>
  <c r="X49" i="28" s="1"/>
  <c r="W50" i="28" a="1"/>
  <c r="X50" i="28" s="1"/>
  <c r="W51" i="28" a="1"/>
  <c r="X51" i="28" s="1"/>
  <c r="W52" i="28" a="1"/>
  <c r="X52" i="28" s="1"/>
  <c r="B53" i="28" a="1"/>
  <c r="C53" i="28" a="1"/>
  <c r="D53" i="28" a="1"/>
  <c r="E53" i="28" a="1"/>
  <c r="F53" i="28" a="1"/>
  <c r="W53" i="28" a="1"/>
  <c r="X53" i="28" s="1"/>
  <c r="B54" i="28" a="1"/>
  <c r="C54" i="28" a="1"/>
  <c r="D54" i="28" a="1"/>
  <c r="E54" i="28" a="1"/>
  <c r="F54" i="28" a="1"/>
  <c r="W54" i="28" a="1"/>
  <c r="X54" i="28" s="1"/>
  <c r="B55" i="28" a="1"/>
  <c r="C55" i="28" a="1"/>
  <c r="D55" i="28" a="1"/>
  <c r="E55" i="28" a="1"/>
  <c r="F55" i="28" a="1"/>
  <c r="W55" i="28" a="1"/>
  <c r="X55" i="28" s="1"/>
  <c r="B56" i="28" a="1"/>
  <c r="C56" i="28" a="1"/>
  <c r="D56" i="28" a="1"/>
  <c r="E56" i="28" a="1"/>
  <c r="F56" i="28" a="1"/>
  <c r="W56" i="28" a="1"/>
  <c r="X56" i="28" s="1"/>
  <c r="B57" i="28" a="1"/>
  <c r="C57" i="28" a="1"/>
  <c r="D57" i="28" a="1"/>
  <c r="E57" i="28" a="1"/>
  <c r="F57" i="28" a="1"/>
  <c r="W57" i="28" a="1"/>
  <c r="X57" i="28" s="1"/>
  <c r="B58" i="28" a="1"/>
  <c r="C58" i="28" a="1"/>
  <c r="D58" i="28" a="1"/>
  <c r="E58" i="28" a="1"/>
  <c r="F58" i="28" a="1"/>
  <c r="W58" i="28" a="1"/>
  <c r="X58" i="28" s="1"/>
  <c r="B59" i="28" a="1"/>
  <c r="C59" i="28" a="1"/>
  <c r="D59" i="28" a="1"/>
  <c r="E59" i="28" a="1"/>
  <c r="F59" i="28" a="1"/>
  <c r="W59" i="28" a="1"/>
  <c r="X59" i="28" s="1"/>
  <c r="B60" i="28" a="1"/>
  <c r="C60" i="28" a="1"/>
  <c r="D60" i="28" a="1"/>
  <c r="E60" i="28" a="1"/>
  <c r="F60" i="28" a="1"/>
  <c r="W60" i="28" a="1"/>
  <c r="X60" i="28" s="1"/>
  <c r="B61" i="28" a="1"/>
  <c r="C61" i="28" a="1"/>
  <c r="D61" i="28" a="1"/>
  <c r="E61" i="28" a="1"/>
  <c r="F61" i="28" a="1"/>
  <c r="W61" i="28" a="1"/>
  <c r="X61" i="28" s="1"/>
  <c r="B62" i="28" a="1"/>
  <c r="C62" i="28" a="1"/>
  <c r="D62" i="28" a="1"/>
  <c r="E62" i="28" a="1"/>
  <c r="F62" i="28" a="1"/>
  <c r="W62" i="28" a="1"/>
  <c r="X62" i="28" s="1"/>
  <c r="B63" i="28" a="1"/>
  <c r="C63" i="28" a="1"/>
  <c r="D63" i="28" a="1"/>
  <c r="E63" i="28" a="1"/>
  <c r="F63" i="28" a="1"/>
  <c r="W63" i="28" a="1"/>
  <c r="X63" i="28" s="1"/>
  <c r="B64" i="28" a="1"/>
  <c r="C64" i="28" a="1"/>
  <c r="D64" i="28" a="1"/>
  <c r="E64" i="28" a="1"/>
  <c r="F64" i="28" a="1"/>
  <c r="W64" i="28" a="1"/>
  <c r="X64" i="28" s="1"/>
  <c r="B65" i="28" a="1"/>
  <c r="C65" i="28" a="1"/>
  <c r="D65" i="28" a="1"/>
  <c r="E65" i="28" a="1"/>
  <c r="F65" i="28" a="1"/>
  <c r="W65" i="28" a="1"/>
  <c r="X65" i="28" s="1"/>
  <c r="B66" i="28" a="1"/>
  <c r="C66" i="28" a="1"/>
  <c r="D66" i="28" a="1"/>
  <c r="E66" i="28" a="1"/>
  <c r="F66" i="28" a="1"/>
  <c r="W66" i="28" a="1"/>
  <c r="X66" i="28" s="1"/>
  <c r="B67" i="28" a="1"/>
  <c r="C67" i="28" a="1"/>
  <c r="D67" i="28" a="1"/>
  <c r="E67" i="28" a="1"/>
  <c r="F67" i="28" a="1"/>
  <c r="W67" i="28" a="1"/>
  <c r="X67" i="28" s="1"/>
  <c r="B68" i="28" a="1"/>
  <c r="C68" i="28" a="1"/>
  <c r="D68" i="28" a="1"/>
  <c r="E68" i="28" a="1"/>
  <c r="F68" i="28" a="1"/>
  <c r="W68" i="28" a="1"/>
  <c r="X68" i="28" s="1"/>
  <c r="B69" i="28" a="1"/>
  <c r="C69" i="28" a="1"/>
  <c r="D69" i="28" a="1"/>
  <c r="E69" i="28" a="1"/>
  <c r="F69" i="28" a="1"/>
  <c r="W69" i="28" a="1"/>
  <c r="X69" i="28" s="1"/>
  <c r="W70" i="28" a="1"/>
  <c r="X70" i="28" s="1"/>
  <c r="W71" i="28" a="1"/>
  <c r="X71" i="28" s="1"/>
  <c r="W72" i="28" a="1"/>
  <c r="X72" i="28" s="1"/>
  <c r="W73" i="28" a="1"/>
  <c r="X73" i="28" s="1"/>
  <c r="W74" i="28" a="1"/>
  <c r="X74" i="28" s="1"/>
  <c r="W75" i="28" a="1"/>
  <c r="X75" i="28" s="1"/>
  <c r="W76" i="28" a="1"/>
  <c r="X76" i="28" s="1"/>
  <c r="W77" i="28" a="1"/>
  <c r="X77" i="28" s="1"/>
  <c r="W78" i="28" a="1"/>
  <c r="X78" i="28" s="1"/>
  <c r="W79" i="28" a="1"/>
  <c r="X79" i="28" s="1"/>
  <c r="W80" i="28" a="1"/>
  <c r="X80" i="28" s="1"/>
  <c r="W81" i="28" a="1"/>
  <c r="X81" i="28" s="1"/>
  <c r="W82" i="28" a="1"/>
  <c r="X82" i="28" s="1"/>
  <c r="W83" i="28" a="1"/>
  <c r="X83" i="28" s="1"/>
  <c r="W84" i="28" a="1"/>
  <c r="X84" i="28" s="1"/>
  <c r="W85" i="28" a="1"/>
  <c r="X85" i="28" s="1"/>
  <c r="V4" i="30"/>
  <c r="V5" i="30"/>
  <c r="V13" i="30"/>
  <c r="V14" i="30"/>
  <c r="V15" i="30"/>
  <c r="V16" i="30"/>
  <c r="V17" i="30"/>
  <c r="V18" i="30"/>
  <c r="V19" i="30"/>
  <c r="V20" i="30"/>
  <c r="V21" i="30"/>
  <c r="V22" i="30"/>
  <c r="V23" i="30"/>
  <c r="V24" i="30"/>
  <c r="V25" i="30"/>
  <c r="V26" i="30"/>
  <c r="V27" i="30"/>
  <c r="V28" i="30"/>
  <c r="V29" i="30"/>
  <c r="V30" i="30"/>
  <c r="V31" i="30"/>
  <c r="V32" i="30"/>
  <c r="V33" i="30"/>
  <c r="V34" i="30"/>
  <c r="V35" i="30"/>
  <c r="V36" i="30"/>
  <c r="V37" i="30"/>
  <c r="V38" i="30"/>
  <c r="V39" i="30"/>
  <c r="V40" i="30"/>
  <c r="V41" i="30"/>
  <c r="V42" i="30"/>
  <c r="V43" i="30"/>
  <c r="V44" i="30"/>
  <c r="V45" i="30"/>
  <c r="V46" i="30"/>
  <c r="V47" i="30"/>
  <c r="V48" i="30"/>
  <c r="V49" i="30"/>
  <c r="V50" i="30"/>
  <c r="V51" i="30"/>
  <c r="V52" i="30"/>
  <c r="V53" i="30"/>
  <c r="V54" i="30"/>
  <c r="V55" i="30"/>
  <c r="V56" i="30"/>
  <c r="V57" i="30"/>
  <c r="V58" i="30"/>
  <c r="V59" i="30"/>
  <c r="V60" i="30"/>
  <c r="V61" i="30"/>
  <c r="V62" i="30"/>
  <c r="V63" i="30"/>
  <c r="V64" i="30"/>
  <c r="V65" i="30"/>
  <c r="V66" i="30"/>
  <c r="V67" i="30"/>
  <c r="V68" i="30"/>
  <c r="V69" i="30"/>
  <c r="V70" i="30"/>
  <c r="V71" i="30"/>
  <c r="V72" i="30"/>
  <c r="V73" i="30"/>
  <c r="V74" i="30"/>
  <c r="V75" i="30"/>
  <c r="V76" i="30"/>
  <c r="V77" i="30"/>
  <c r="V78" i="30"/>
  <c r="V79" i="30"/>
  <c r="V80" i="30"/>
  <c r="V81" i="30"/>
  <c r="V82" i="30"/>
  <c r="V83" i="30"/>
  <c r="V84" i="30"/>
  <c r="V85" i="30"/>
  <c r="V86" i="30"/>
  <c r="V87" i="30"/>
  <c r="V88" i="30"/>
  <c r="V89" i="30"/>
  <c r="V90" i="30"/>
  <c r="V91" i="30"/>
  <c r="V92" i="30"/>
  <c r="V93" i="30"/>
  <c r="V94" i="30"/>
  <c r="V95" i="30"/>
  <c r="V96" i="30"/>
  <c r="V97" i="30"/>
  <c r="V98" i="30"/>
  <c r="V99" i="30"/>
  <c r="V100" i="30"/>
  <c r="V101" i="30"/>
  <c r="V102" i="30"/>
  <c r="V103" i="30"/>
  <c r="V104" i="30"/>
  <c r="V105" i="30"/>
  <c r="V106" i="30"/>
  <c r="V107" i="30"/>
  <c r="V108" i="30"/>
  <c r="V109" i="30"/>
  <c r="V110" i="30"/>
  <c r="V111" i="30"/>
  <c r="V112" i="30"/>
  <c r="V113" i="30"/>
  <c r="V114" i="30"/>
  <c r="V115" i="30"/>
  <c r="V116" i="30"/>
  <c r="V117" i="30"/>
  <c r="V118" i="30"/>
  <c r="V119" i="30"/>
  <c r="V120" i="30"/>
  <c r="V121" i="30"/>
  <c r="V122" i="30"/>
  <c r="V123" i="30"/>
  <c r="V124" i="30"/>
  <c r="V125" i="30"/>
  <c r="V126" i="30"/>
  <c r="V127" i="30"/>
  <c r="V128" i="30"/>
  <c r="V129" i="30"/>
  <c r="V130" i="30"/>
  <c r="V131" i="30"/>
  <c r="V132" i="30"/>
  <c r="V133" i="30"/>
  <c r="V134" i="30"/>
  <c r="V135" i="30"/>
  <c r="V136" i="30"/>
  <c r="V137" i="30"/>
  <c r="V138" i="30"/>
  <c r="V139" i="30"/>
  <c r="V140" i="30"/>
  <c r="V141" i="30"/>
  <c r="V142" i="30"/>
  <c r="V143" i="30"/>
  <c r="V144" i="30"/>
  <c r="V145" i="30"/>
  <c r="V146" i="30"/>
  <c r="V147" i="30"/>
  <c r="V148" i="30"/>
  <c r="V149" i="30"/>
  <c r="V150" i="30"/>
  <c r="V151" i="30"/>
  <c r="V152" i="30"/>
  <c r="V153" i="30"/>
  <c r="V154" i="30"/>
  <c r="V155" i="30"/>
  <c r="V156" i="30"/>
  <c r="V157" i="30"/>
  <c r="V158" i="30"/>
  <c r="V159" i="30"/>
  <c r="V160" i="30"/>
  <c r="V161" i="30"/>
  <c r="V162" i="30"/>
  <c r="V163" i="30"/>
  <c r="V164" i="30"/>
  <c r="V165" i="30"/>
  <c r="V166" i="30"/>
  <c r="V167" i="30"/>
  <c r="V168" i="30"/>
  <c r="V169" i="30"/>
  <c r="V170" i="30"/>
  <c r="V171" i="30"/>
  <c r="V172" i="30"/>
  <c r="V173" i="30"/>
  <c r="V174" i="30"/>
  <c r="V175" i="30"/>
  <c r="V176" i="30"/>
  <c r="V177" i="30"/>
  <c r="V178" i="30"/>
  <c r="V179" i="30"/>
  <c r="V180" i="30"/>
  <c r="V181" i="30"/>
  <c r="V182" i="30"/>
  <c r="V183" i="30"/>
  <c r="V184" i="30"/>
  <c r="V185" i="30"/>
  <c r="V186" i="30"/>
  <c r="V187" i="30"/>
  <c r="V188" i="30"/>
  <c r="V189" i="30"/>
  <c r="V190" i="30"/>
  <c r="V191" i="30"/>
  <c r="V192" i="30"/>
  <c r="V193" i="30"/>
  <c r="V194" i="30"/>
  <c r="V195" i="30"/>
  <c r="V196" i="30"/>
  <c r="V197" i="30"/>
  <c r="V198" i="30"/>
  <c r="V199" i="30"/>
  <c r="V200" i="30"/>
  <c r="V201" i="30"/>
  <c r="V202" i="30"/>
  <c r="V203" i="30"/>
  <c r="V204" i="30"/>
  <c r="V205" i="30"/>
  <c r="V206" i="30"/>
  <c r="V207" i="30"/>
  <c r="V208" i="30"/>
  <c r="V209" i="30"/>
  <c r="V210" i="30"/>
  <c r="V211" i="30"/>
  <c r="V212" i="30"/>
  <c r="V213" i="30"/>
  <c r="V214" i="30"/>
  <c r="V215" i="30"/>
  <c r="V216" i="30"/>
  <c r="V217" i="30"/>
  <c r="V218" i="30"/>
  <c r="V219" i="30"/>
  <c r="V220" i="30"/>
  <c r="V221" i="30"/>
  <c r="V222" i="30"/>
  <c r="V223" i="30"/>
  <c r="V224" i="30"/>
  <c r="V225" i="30"/>
  <c r="V226" i="30"/>
  <c r="V227" i="30"/>
  <c r="V228" i="30"/>
  <c r="V229" i="30"/>
  <c r="V230" i="30"/>
  <c r="V231" i="30"/>
  <c r="V232" i="30"/>
  <c r="V233" i="30"/>
  <c r="V234" i="30"/>
  <c r="V235" i="30"/>
  <c r="V236" i="30"/>
  <c r="V237" i="30"/>
  <c r="V238" i="30"/>
  <c r="V239" i="30"/>
  <c r="V240" i="30"/>
  <c r="V241" i="30"/>
  <c r="V242" i="30"/>
  <c r="V243" i="30"/>
  <c r="V244" i="30"/>
  <c r="V245" i="30"/>
  <c r="V246" i="30"/>
  <c r="V247" i="30"/>
  <c r="V248" i="30"/>
  <c r="V249" i="30"/>
  <c r="V250" i="30"/>
  <c r="V251" i="30"/>
  <c r="V252" i="30"/>
  <c r="V253" i="30"/>
  <c r="V254" i="30"/>
  <c r="V255" i="30"/>
  <c r="V256" i="30"/>
  <c r="V257" i="30"/>
  <c r="V258" i="30"/>
  <c r="V259" i="30"/>
  <c r="V260" i="30"/>
  <c r="V261" i="30"/>
  <c r="V262" i="30"/>
  <c r="V263" i="30"/>
  <c r="V264" i="30"/>
  <c r="V265" i="30"/>
  <c r="V266" i="30"/>
  <c r="V267" i="30"/>
  <c r="V268" i="30"/>
  <c r="V269" i="30"/>
  <c r="V270" i="30"/>
  <c r="V271" i="30"/>
  <c r="V272" i="30"/>
  <c r="V273" i="30"/>
  <c r="V274" i="30"/>
  <c r="V275" i="30"/>
  <c r="V276" i="30"/>
  <c r="V277" i="30"/>
  <c r="V278" i="30"/>
  <c r="V279" i="30"/>
  <c r="V280" i="30"/>
  <c r="V281" i="30"/>
  <c r="V282" i="30"/>
  <c r="V283" i="30"/>
  <c r="V284" i="30"/>
  <c r="V285" i="30"/>
  <c r="V286" i="30"/>
  <c r="V287" i="30"/>
  <c r="V288" i="30"/>
  <c r="V289" i="30"/>
  <c r="V290" i="30"/>
  <c r="V291" i="30"/>
  <c r="V292" i="30"/>
  <c r="V293" i="30"/>
  <c r="V294" i="30"/>
  <c r="V295" i="30"/>
  <c r="V296" i="30"/>
  <c r="V297" i="30"/>
  <c r="V298" i="30"/>
  <c r="V299" i="30"/>
  <c r="V300" i="30"/>
  <c r="V301" i="30"/>
  <c r="V302" i="30"/>
  <c r="V303" i="30"/>
  <c r="V304" i="30"/>
  <c r="V305" i="30"/>
  <c r="V306" i="30"/>
  <c r="V307" i="30"/>
  <c r="V308" i="30"/>
  <c r="V309" i="30"/>
  <c r="V310" i="30"/>
  <c r="V311" i="30"/>
  <c r="V312" i="30"/>
  <c r="V313" i="30"/>
  <c r="V314" i="30"/>
  <c r="V315" i="30"/>
  <c r="V316" i="30"/>
  <c r="V317" i="30"/>
  <c r="V318" i="30"/>
  <c r="V319" i="30"/>
  <c r="V320" i="30"/>
  <c r="V321" i="30"/>
  <c r="V322" i="30"/>
  <c r="V323" i="30"/>
  <c r="V324" i="30"/>
  <c r="V325" i="30"/>
  <c r="V326" i="30"/>
  <c r="V327" i="30"/>
  <c r="V328" i="30"/>
  <c r="V329" i="30"/>
  <c r="V330" i="30"/>
  <c r="V331" i="30"/>
  <c r="V332" i="30"/>
  <c r="V333" i="30"/>
  <c r="V334" i="30"/>
  <c r="V335" i="30"/>
  <c r="V336" i="30"/>
  <c r="V337" i="30"/>
  <c r="V338" i="30"/>
  <c r="V339" i="30"/>
  <c r="V340" i="30"/>
  <c r="V341" i="30"/>
  <c r="V342" i="30"/>
  <c r="V343" i="30"/>
  <c r="V344" i="30"/>
  <c r="V345" i="30"/>
  <c r="V346" i="30"/>
  <c r="V347" i="30"/>
  <c r="V348" i="30"/>
  <c r="V349" i="30"/>
  <c r="V350" i="30"/>
  <c r="V351" i="30"/>
  <c r="V352" i="30"/>
  <c r="V353" i="30"/>
  <c r="V354" i="30"/>
  <c r="V355" i="30"/>
  <c r="V356" i="30"/>
  <c r="V357" i="30"/>
  <c r="V358" i="30"/>
  <c r="V359" i="30"/>
  <c r="V360" i="30"/>
  <c r="V361" i="30"/>
  <c r="V362" i="30"/>
  <c r="V363" i="30"/>
  <c r="V364" i="30"/>
  <c r="V365" i="30"/>
  <c r="V366" i="30"/>
  <c r="V367" i="30"/>
  <c r="V368" i="30"/>
  <c r="V369" i="30"/>
  <c r="V370" i="30"/>
  <c r="V371" i="30"/>
  <c r="V372" i="30"/>
  <c r="V373" i="30"/>
  <c r="V374" i="30"/>
  <c r="V375" i="30"/>
  <c r="V376" i="30"/>
  <c r="V377" i="30"/>
  <c r="V378" i="30"/>
  <c r="V379" i="30"/>
  <c r="V380" i="30"/>
  <c r="V381" i="30"/>
  <c r="V382" i="30"/>
  <c r="V383" i="30"/>
  <c r="V384" i="30"/>
  <c r="V385" i="30"/>
  <c r="V386" i="30"/>
  <c r="V387" i="30"/>
  <c r="V388" i="30"/>
  <c r="V389" i="30"/>
  <c r="V390" i="30"/>
  <c r="V391" i="30"/>
  <c r="V392" i="30"/>
  <c r="V393" i="30"/>
  <c r="V394" i="30"/>
  <c r="V395" i="30"/>
  <c r="V396" i="30"/>
  <c r="V397" i="30"/>
  <c r="V398" i="30"/>
  <c r="V399" i="30"/>
  <c r="V400" i="30"/>
  <c r="V401" i="30"/>
  <c r="V402" i="30"/>
  <c r="V403" i="30"/>
  <c r="V404" i="30"/>
  <c r="V405" i="30"/>
  <c r="V406" i="30"/>
  <c r="V407" i="30"/>
  <c r="V408" i="30"/>
  <c r="V409" i="30"/>
  <c r="V410" i="30"/>
  <c r="V411" i="30"/>
  <c r="V412" i="30"/>
  <c r="V413" i="30"/>
  <c r="V414" i="30"/>
  <c r="V415" i="30"/>
  <c r="V416" i="30"/>
  <c r="V417" i="30"/>
  <c r="V418" i="30"/>
  <c r="V419" i="30"/>
  <c r="V420" i="30"/>
  <c r="V421" i="30"/>
  <c r="V422" i="30"/>
  <c r="V423" i="30"/>
  <c r="V424" i="30"/>
  <c r="V425" i="30"/>
  <c r="V426" i="30"/>
  <c r="V427" i="30"/>
  <c r="V428" i="30"/>
  <c r="V429" i="30"/>
  <c r="V430" i="30"/>
  <c r="V431" i="30"/>
  <c r="V432" i="30"/>
  <c r="V433" i="30"/>
  <c r="V434" i="30"/>
  <c r="V435" i="30"/>
  <c r="V436" i="30"/>
  <c r="V437" i="30"/>
  <c r="V438" i="30"/>
  <c r="V439" i="30"/>
  <c r="V440" i="30"/>
  <c r="V441" i="30"/>
  <c r="V442" i="30"/>
  <c r="V443" i="30"/>
  <c r="V444" i="30"/>
  <c r="V445" i="30"/>
  <c r="V446" i="30"/>
  <c r="V447" i="30"/>
  <c r="V448" i="30"/>
  <c r="V449" i="30"/>
  <c r="V450" i="30"/>
  <c r="V451" i="30"/>
  <c r="V452" i="30"/>
  <c r="V453" i="30"/>
  <c r="V454" i="30"/>
  <c r="V455" i="30"/>
  <c r="V456" i="30"/>
  <c r="V457" i="30"/>
  <c r="V458" i="30"/>
  <c r="V459" i="30"/>
  <c r="V460" i="30"/>
  <c r="V461" i="30"/>
  <c r="V462" i="30"/>
  <c r="V463" i="30"/>
  <c r="V464" i="30"/>
  <c r="V465" i="30"/>
  <c r="V466" i="30"/>
  <c r="V467" i="30"/>
  <c r="V468" i="30"/>
  <c r="V469" i="30"/>
  <c r="V470" i="30"/>
  <c r="V471" i="30"/>
  <c r="V472" i="30"/>
  <c r="V473" i="30"/>
  <c r="V474" i="30"/>
  <c r="V475" i="30"/>
  <c r="V476" i="30"/>
  <c r="V477" i="30"/>
  <c r="V478" i="30"/>
  <c r="V479" i="30"/>
  <c r="V480" i="30"/>
  <c r="V481" i="30"/>
  <c r="V482" i="30"/>
  <c r="V483" i="30"/>
  <c r="V484" i="30"/>
  <c r="V485" i="30"/>
  <c r="V486" i="30"/>
  <c r="V487" i="30"/>
  <c r="V488" i="30"/>
  <c r="V489" i="30"/>
  <c r="V490" i="30"/>
  <c r="V491" i="30"/>
  <c r="V492" i="30"/>
  <c r="V493" i="30"/>
  <c r="V494" i="30"/>
  <c r="V495" i="30"/>
  <c r="V496" i="30"/>
  <c r="V497" i="30"/>
  <c r="V498" i="30"/>
  <c r="V499" i="30"/>
  <c r="V500" i="30"/>
  <c r="V501" i="30"/>
  <c r="V502" i="30"/>
  <c r="V503" i="30"/>
  <c r="V504" i="30"/>
  <c r="V505" i="30"/>
  <c r="V506" i="30"/>
  <c r="V507" i="30"/>
  <c r="V508" i="30"/>
  <c r="V509" i="30"/>
  <c r="V510" i="30"/>
  <c r="V511" i="30"/>
  <c r="V512" i="30"/>
  <c r="V513" i="30"/>
  <c r="V514" i="30"/>
  <c r="V515" i="30"/>
  <c r="V516" i="30"/>
  <c r="V517" i="30"/>
  <c r="V518" i="30"/>
  <c r="V519" i="30"/>
  <c r="V520" i="30"/>
  <c r="V521" i="30"/>
  <c r="V522" i="30"/>
  <c r="V523" i="30"/>
  <c r="V524" i="30"/>
  <c r="V3" i="30"/>
  <c r="T45" i="30" s="1" a="1"/>
  <c r="W1" i="28" a="1"/>
  <c r="X1" i="28" s="1"/>
  <c r="W2" i="28" a="1"/>
  <c r="X2" i="28" s="1"/>
  <c r="W3" i="28" a="1"/>
  <c r="X3" i="28" s="1"/>
  <c r="W4" i="28" a="1"/>
  <c r="X4" i="28" s="1"/>
  <c r="W5" i="28" a="1"/>
  <c r="X5" i="28" s="1"/>
  <c r="W6" i="28" a="1"/>
  <c r="X6" i="28" s="1"/>
  <c r="W7" i="28" a="1"/>
  <c r="X7" i="28" s="1"/>
  <c r="F22" i="3" a="1"/>
  <c r="E22" i="3" a="1"/>
  <c r="D22" i="3" a="1"/>
  <c r="C22" i="3" a="1"/>
  <c r="B22" i="3" a="1"/>
  <c r="F21" i="3" a="1"/>
  <c r="E21" i="3" a="1"/>
  <c r="D21" i="3" a="1"/>
  <c r="C21" i="3" a="1"/>
  <c r="B21" i="3" a="1"/>
  <c r="F20" i="3" a="1"/>
  <c r="E20" i="3" a="1"/>
  <c r="D20" i="3" a="1"/>
  <c r="C20" i="3" a="1"/>
  <c r="B20" i="3" a="1"/>
  <c r="F19" i="3" a="1"/>
  <c r="E19" i="3" a="1"/>
  <c r="D19" i="3" a="1"/>
  <c r="C19" i="3" a="1"/>
  <c r="B19" i="3" a="1"/>
  <c r="F18" i="3" a="1"/>
  <c r="E18" i="3" a="1"/>
  <c r="D18" i="3" a="1"/>
  <c r="C18" i="3" a="1"/>
  <c r="B18" i="3" a="1"/>
  <c r="F17" i="3" a="1"/>
  <c r="E17" i="3" a="1"/>
  <c r="D17" i="3" a="1"/>
  <c r="C17" i="3" a="1"/>
  <c r="B17" i="3" a="1"/>
  <c r="F16" i="3" a="1"/>
  <c r="E16" i="3" a="1"/>
  <c r="D16" i="3" a="1"/>
  <c r="C16" i="3" a="1"/>
  <c r="B16" i="3" a="1"/>
  <c r="F15" i="3" a="1"/>
  <c r="E15" i="3" a="1"/>
  <c r="D15" i="3" a="1"/>
  <c r="C15" i="3" a="1"/>
  <c r="B15" i="3" a="1"/>
  <c r="F14" i="3" a="1"/>
  <c r="E14" i="3" a="1"/>
  <c r="D14" i="3" a="1"/>
  <c r="C14" i="3" a="1"/>
  <c r="B14" i="3" a="1"/>
  <c r="F13" i="3" a="1"/>
  <c r="E13" i="3" a="1"/>
  <c r="D13" i="3" a="1"/>
  <c r="C13" i="3" a="1"/>
  <c r="B13" i="3" a="1"/>
  <c r="F12" i="3" a="1"/>
  <c r="E12" i="3" a="1"/>
  <c r="D12" i="3" a="1"/>
  <c r="C12" i="3" a="1"/>
  <c r="B12" i="3" a="1"/>
  <c r="F11" i="3" a="1"/>
  <c r="E11" i="3" a="1"/>
  <c r="D11" i="3" a="1"/>
  <c r="C11" i="3" a="1"/>
  <c r="B11" i="3" a="1"/>
  <c r="F10" i="3" a="1"/>
  <c r="E10" i="3" a="1"/>
  <c r="D10" i="3" a="1"/>
  <c r="C10" i="3" a="1"/>
  <c r="B10" i="3" a="1"/>
  <c r="F9" i="3" a="1"/>
  <c r="E9" i="3" a="1"/>
  <c r="D9" i="3" a="1"/>
  <c r="C9" i="3" a="1"/>
  <c r="B9" i="3" a="1"/>
  <c r="F8" i="3" a="1"/>
  <c r="E8" i="3" a="1"/>
  <c r="D8" i="3" a="1"/>
  <c r="C8" i="3" a="1"/>
  <c r="B8" i="3" a="1"/>
  <c r="F7" i="3" a="1"/>
  <c r="E7" i="3" a="1"/>
  <c r="D7" i="3" a="1"/>
  <c r="C7" i="3" a="1"/>
  <c r="B7" i="3" a="1"/>
  <c r="F6" i="3" a="1"/>
  <c r="E6" i="3" a="1"/>
  <c r="D6" i="3" a="1"/>
  <c r="C6" i="3" a="1"/>
  <c r="B6" i="3" a="1"/>
  <c r="F5" i="3" a="1"/>
  <c r="E5" i="3" a="1"/>
  <c r="D5" i="3" a="1"/>
  <c r="C5" i="3" a="1"/>
  <c r="B5" i="3" a="1"/>
  <c r="F4" i="3" a="1"/>
  <c r="E4" i="3" a="1"/>
  <c r="D4" i="3" a="1"/>
  <c r="C4" i="3" a="1"/>
  <c r="B4" i="3" a="1"/>
  <c r="F3" i="3" a="1"/>
  <c r="E3" i="3" a="1"/>
  <c r="D3" i="3" a="1"/>
  <c r="C3" i="3" a="1"/>
  <c r="B3" i="3" a="1"/>
  <c r="H50" i="2"/>
  <c r="G50" i="2"/>
  <c r="F50" i="2"/>
  <c r="E50" i="2"/>
  <c r="D50" i="2"/>
  <c r="C50" i="2"/>
  <c r="H49" i="2"/>
  <c r="G49" i="2"/>
  <c r="F49" i="2"/>
  <c r="E49" i="2"/>
  <c r="D49" i="2"/>
  <c r="C49" i="2"/>
  <c r="H48" i="2"/>
  <c r="G48" i="2"/>
  <c r="F48" i="2"/>
  <c r="E48" i="2"/>
  <c r="D48" i="2"/>
  <c r="C48" i="2"/>
  <c r="H47" i="2"/>
  <c r="G47" i="2"/>
  <c r="F47" i="2"/>
  <c r="E47" i="2"/>
  <c r="D47" i="2"/>
  <c r="C47" i="2"/>
  <c r="H46" i="2"/>
  <c r="G46" i="2"/>
  <c r="F46" i="2"/>
  <c r="E46" i="2"/>
  <c r="D46" i="2"/>
  <c r="C46" i="2"/>
  <c r="H45" i="2"/>
  <c r="G45" i="2"/>
  <c r="F45" i="2"/>
  <c r="E45" i="2"/>
  <c r="D45" i="2"/>
  <c r="C45" i="2"/>
  <c r="H44" i="2"/>
  <c r="G44" i="2"/>
  <c r="F44" i="2"/>
  <c r="E44" i="2"/>
  <c r="D44" i="2"/>
  <c r="C44" i="2"/>
  <c r="H43" i="2"/>
  <c r="G43" i="2"/>
  <c r="F43" i="2"/>
  <c r="E43" i="2"/>
  <c r="D43" i="2"/>
  <c r="C43" i="2"/>
  <c r="H42" i="2"/>
  <c r="G42" i="2"/>
  <c r="F42" i="2"/>
  <c r="E42" i="2"/>
  <c r="D42" i="2"/>
  <c r="C42" i="2"/>
  <c r="H41" i="2"/>
  <c r="G41" i="2"/>
  <c r="F41" i="2"/>
  <c r="E41" i="2"/>
  <c r="D41" i="2"/>
  <c r="C41" i="2"/>
  <c r="H40" i="2"/>
  <c r="G40" i="2"/>
  <c r="F40" i="2"/>
  <c r="E40" i="2"/>
  <c r="D40" i="2"/>
  <c r="C40" i="2"/>
  <c r="H39" i="2"/>
  <c r="G39" i="2"/>
  <c r="F39" i="2"/>
  <c r="E39" i="2"/>
  <c r="D39" i="2"/>
  <c r="C39" i="2"/>
  <c r="H38" i="2"/>
  <c r="G38" i="2"/>
  <c r="F38" i="2"/>
  <c r="E38" i="2"/>
  <c r="D38" i="2"/>
  <c r="C38" i="2"/>
  <c r="H37" i="2"/>
  <c r="G37" i="2"/>
  <c r="F37" i="2"/>
  <c r="E37" i="2"/>
  <c r="D37" i="2"/>
  <c r="C37" i="2"/>
  <c r="H36" i="2"/>
  <c r="G36" i="2"/>
  <c r="F36" i="2"/>
  <c r="E36" i="2"/>
  <c r="D36" i="2"/>
  <c r="C36" i="2"/>
  <c r="H35" i="2"/>
  <c r="G35" i="2"/>
  <c r="F35" i="2"/>
  <c r="E35" i="2"/>
  <c r="D35" i="2"/>
  <c r="C35" i="2"/>
  <c r="H34" i="2"/>
  <c r="G34" i="2"/>
  <c r="F34" i="2"/>
  <c r="E34" i="2"/>
  <c r="D34" i="2"/>
  <c r="C34" i="2"/>
  <c r="H33" i="2"/>
  <c r="G33" i="2"/>
  <c r="F33" i="2"/>
  <c r="E33" i="2"/>
  <c r="D33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T28" i="30" l="1" a="1"/>
  <c r="U28" i="30" s="1"/>
  <c r="T44" i="30" a="1"/>
  <c r="T43" i="30" a="1"/>
  <c r="T41" i="30" a="1"/>
  <c r="U41" i="30" s="1"/>
  <c r="T38" i="30" a="1"/>
  <c r="U38" i="30" s="1"/>
  <c r="T36" i="30" a="1"/>
  <c r="U36" i="30" s="1"/>
  <c r="T34" i="30" a="1"/>
  <c r="U34" i="30" s="1"/>
  <c r="T32" i="30" a="1"/>
  <c r="U32" i="30" s="1"/>
  <c r="T25" i="30" a="1"/>
  <c r="U25" i="30" s="1"/>
  <c r="T18" i="30" a="1"/>
  <c r="U18" i="30" s="1"/>
  <c r="T4" i="30" a="1"/>
  <c r="U4" i="30" s="1"/>
  <c r="T29" i="30" a="1"/>
  <c r="U29" i="30" s="1"/>
  <c r="T21" i="30" a="1"/>
  <c r="U21" i="30" s="1"/>
  <c r="T15" i="30" a="1"/>
  <c r="U15" i="30" s="1"/>
  <c r="T1" i="30" a="1"/>
  <c r="T30" i="30" a="1"/>
  <c r="U30" i="30" s="1"/>
  <c r="T22" i="30" a="1"/>
  <c r="U22" i="30" s="1"/>
  <c r="T17" i="30" a="1"/>
  <c r="U17" i="30" s="1"/>
  <c r="T3" i="30" a="1"/>
  <c r="U3" i="30" s="1"/>
  <c r="T13" i="30" a="1"/>
  <c r="U13" i="30" s="1"/>
  <c r="T24" i="30" a="1"/>
  <c r="U24" i="30" s="1"/>
  <c r="T16" i="30" a="1"/>
  <c r="U16" i="30" s="1"/>
  <c r="T2" i="30" a="1"/>
  <c r="U2" i="30" s="1"/>
  <c r="T31" i="30" a="1"/>
  <c r="U31" i="30" s="1"/>
  <c r="T23" i="30" a="1"/>
  <c r="U23" i="30" s="1"/>
  <c r="T14" i="30" a="1"/>
  <c r="U14" i="30" s="1"/>
  <c r="T40" i="30" a="1"/>
  <c r="U40" i="30" s="1"/>
  <c r="T26" i="30" a="1"/>
  <c r="U26" i="30" s="1"/>
  <c r="T19" i="30" a="1"/>
  <c r="U19" i="30" s="1"/>
  <c r="T5" i="30" a="1"/>
  <c r="U5" i="30" s="1"/>
  <c r="T42" i="30" a="1"/>
  <c r="U42" i="30" s="1"/>
  <c r="T39" i="30" a="1"/>
  <c r="U39" i="30" s="1"/>
  <c r="T37" i="30" a="1"/>
  <c r="U37" i="30" s="1"/>
  <c r="T35" i="30" a="1"/>
  <c r="U35" i="30" s="1"/>
  <c r="T33" i="30" a="1"/>
  <c r="U33" i="30" s="1"/>
  <c r="T27" i="30" a="1"/>
  <c r="U27" i="30" s="1"/>
  <c r="T20" i="30" a="1"/>
  <c r="U20" i="30" s="1"/>
  <c r="K36" i="28"/>
  <c r="T47" i="30" a="1"/>
  <c r="U47" i="30" s="1"/>
  <c r="A14" i="30" a="1"/>
  <c r="T46" i="30" a="1"/>
  <c r="U44" i="30"/>
  <c r="U43" i="30"/>
  <c r="U45" i="30"/>
  <c r="K37" i="28"/>
  <c r="K38" i="28"/>
  <c r="K39" i="28"/>
  <c r="K40" i="28"/>
  <c r="K41" i="28"/>
  <c r="G31" i="28"/>
  <c r="F31" i="28"/>
  <c r="E31" i="28"/>
  <c r="G55" i="28"/>
  <c r="G69" i="28"/>
  <c r="G57" i="28"/>
  <c r="G61" i="28"/>
  <c r="G53" i="28"/>
  <c r="G62" i="28"/>
  <c r="G54" i="28"/>
  <c r="G60" i="28"/>
  <c r="G64" i="28"/>
  <c r="I78" i="28"/>
  <c r="H78" i="28"/>
  <c r="I77" i="28"/>
  <c r="H77" i="28"/>
  <c r="I87" i="28"/>
  <c r="H87" i="28"/>
  <c r="I82" i="28"/>
  <c r="H82" i="28"/>
  <c r="H80" i="28"/>
  <c r="I76" i="28"/>
  <c r="H76" i="28"/>
  <c r="I91" i="28"/>
  <c r="H91" i="28"/>
  <c r="I79" i="28"/>
  <c r="H79" i="28"/>
  <c r="I92" i="28"/>
  <c r="H92" i="28"/>
  <c r="I86" i="28"/>
  <c r="H86" i="28"/>
  <c r="I84" i="28"/>
  <c r="H84" i="28"/>
  <c r="I75" i="28"/>
  <c r="H75" i="28"/>
  <c r="I90" i="28"/>
  <c r="H90" i="28"/>
  <c r="I83" i="28"/>
  <c r="H83" i="28"/>
  <c r="I73" i="28"/>
  <c r="H73" i="28"/>
  <c r="I89" i="28"/>
  <c r="H89" i="28"/>
  <c r="I85" i="28"/>
  <c r="H85" i="28"/>
  <c r="I81" i="28"/>
  <c r="H81" i="28"/>
  <c r="I80" i="28"/>
  <c r="I74" i="28"/>
  <c r="H74" i="28"/>
  <c r="I88" i="28"/>
  <c r="H88" i="28"/>
  <c r="C86" i="28"/>
  <c r="C85" i="28"/>
  <c r="C92" i="28"/>
  <c r="B92" i="28"/>
  <c r="C91" i="28"/>
  <c r="B91" i="28"/>
  <c r="B89" i="28"/>
  <c r="C90" i="28"/>
  <c r="C87" i="28"/>
  <c r="C88" i="28"/>
  <c r="B90" i="28"/>
  <c r="B88" i="28"/>
  <c r="C84" i="28"/>
  <c r="B84" i="28"/>
  <c r="C83" i="28"/>
  <c r="B83" i="28"/>
  <c r="C82" i="28"/>
  <c r="B82" i="28"/>
  <c r="C81" i="28"/>
  <c r="B81" i="28"/>
  <c r="C80" i="28"/>
  <c r="B80" i="28"/>
  <c r="C79" i="28"/>
  <c r="B79" i="28"/>
  <c r="C78" i="28"/>
  <c r="B78" i="28"/>
  <c r="C77" i="28"/>
  <c r="B77" i="28"/>
  <c r="C76" i="28"/>
  <c r="B76" i="28"/>
  <c r="C75" i="28"/>
  <c r="B75" i="28"/>
  <c r="C74" i="28"/>
  <c r="B74" i="28"/>
  <c r="C73" i="28"/>
  <c r="B73" i="28"/>
  <c r="B86" i="28"/>
  <c r="B85" i="28"/>
  <c r="C89" i="28"/>
  <c r="B87" i="28"/>
  <c r="J42" i="28"/>
  <c r="H31" i="28" a="1"/>
  <c r="B40" i="28"/>
  <c r="C35" i="28" s="1"/>
  <c r="F50" i="28"/>
  <c r="G35" i="28" s="1"/>
  <c r="K35" i="28"/>
  <c r="G59" i="28"/>
  <c r="G58" i="28"/>
  <c r="G65" i="28"/>
  <c r="G68" i="28"/>
  <c r="G56" i="28"/>
  <c r="G63" i="28"/>
  <c r="G66" i="28"/>
  <c r="G67" i="28"/>
  <c r="A1" i="3"/>
  <c r="H51" i="2"/>
  <c r="G51" i="2"/>
  <c r="F51" i="2"/>
  <c r="E51" i="2"/>
  <c r="D51" i="2"/>
  <c r="C51" i="2"/>
  <c r="A1" i="2" s="1"/>
  <c r="G14" i="30" l="1"/>
  <c r="U46" i="30"/>
  <c r="K42" i="28"/>
  <c r="K43" i="28" s="1"/>
  <c r="J43" i="28"/>
  <c r="E86" i="28" a="1"/>
  <c r="D86" i="28"/>
  <c r="E85" i="28" a="1"/>
  <c r="D85" i="28"/>
  <c r="E92" i="28" a="1"/>
  <c r="D92" i="28"/>
  <c r="E91" i="28" a="1"/>
  <c r="D91" i="28"/>
  <c r="E90" i="28" a="1"/>
  <c r="D90" i="28"/>
  <c r="E87" i="28" a="1"/>
  <c r="D87" i="28"/>
  <c r="E88" i="28" a="1"/>
  <c r="D88" i="28"/>
  <c r="E84" i="28" a="1"/>
  <c r="D84" i="28"/>
  <c r="E83" i="28" a="1"/>
  <c r="D83" i="28"/>
  <c r="E82" i="28" a="1"/>
  <c r="D82" i="28"/>
  <c r="E81" i="28" a="1"/>
  <c r="D81" i="28"/>
  <c r="E80" i="28" a="1"/>
  <c r="D80" i="28"/>
  <c r="E79" i="28" a="1"/>
  <c r="D79" i="28"/>
  <c r="E78" i="28" a="1"/>
  <c r="D78" i="28"/>
  <c r="E77" i="28" a="1"/>
  <c r="D77" i="28"/>
  <c r="E76" i="28" a="1"/>
  <c r="D76" i="28"/>
  <c r="E75" i="28" a="1"/>
  <c r="D75" i="28"/>
  <c r="E74" i="28" a="1"/>
  <c r="D74" i="28"/>
  <c r="E73" i="28" a="1"/>
  <c r="D73" i="28"/>
  <c r="E89" i="28" a="1"/>
  <c r="D89" i="28"/>
  <c r="C39" i="28"/>
  <c r="C36" i="28"/>
  <c r="C38" i="28"/>
  <c r="C37" i="28"/>
  <c r="G43" i="28"/>
  <c r="G42" i="28"/>
  <c r="G38" i="28"/>
  <c r="G44" i="28"/>
  <c r="G41" i="28"/>
  <c r="G40" i="28"/>
  <c r="G45" i="28"/>
  <c r="G37" i="28"/>
  <c r="G46" i="28"/>
  <c r="G39" i="28"/>
  <c r="G36" i="28"/>
  <c r="G49" i="28"/>
  <c r="G48" i="28"/>
  <c r="G47" i="28"/>
  <c r="C31" i="28"/>
  <c r="U1" i="30"/>
  <c r="C14" i="30" a="1"/>
  <c r="C40" i="28" l="1"/>
  <c r="G50" i="28"/>
  <c r="B52" i="30"/>
  <c r="B59" i="30"/>
  <c r="B49" i="30"/>
  <c r="C49" i="30"/>
  <c r="D49" i="30" s="1"/>
  <c r="B47" i="30"/>
  <c r="B40" i="30"/>
  <c r="B58" i="30"/>
  <c r="B53" i="30"/>
  <c r="B48" i="30"/>
  <c r="B44" i="30"/>
  <c r="B42" i="30"/>
  <c r="B38" i="30"/>
  <c r="B36" i="30"/>
  <c r="B34" i="30"/>
  <c r="B32" i="30"/>
  <c r="B30" i="30"/>
  <c r="B28" i="30"/>
  <c r="B26" i="30"/>
  <c r="B22" i="30"/>
  <c r="C20" i="30"/>
  <c r="D20" i="30" s="1"/>
  <c r="C57" i="30"/>
  <c r="D57" i="30" s="1"/>
  <c r="C55" i="30"/>
  <c r="D55" i="30" s="1"/>
  <c r="C53" i="30"/>
  <c r="D53" i="30" s="1"/>
  <c r="C50" i="30"/>
  <c r="D50" i="30" s="1"/>
  <c r="C48" i="30"/>
  <c r="D48" i="30" s="1"/>
  <c r="C46" i="30"/>
  <c r="D46" i="30" s="1"/>
  <c r="C44" i="30"/>
  <c r="D44" i="30" s="1"/>
  <c r="C42" i="30"/>
  <c r="D42" i="30" s="1"/>
  <c r="C40" i="30"/>
  <c r="D40" i="30" s="1"/>
  <c r="C38" i="30"/>
  <c r="D38" i="30" s="1"/>
  <c r="C36" i="30"/>
  <c r="D36" i="30" s="1"/>
  <c r="C34" i="30"/>
  <c r="D34" i="30" s="1"/>
  <c r="C32" i="30"/>
  <c r="D32" i="30" s="1"/>
  <c r="C30" i="30"/>
  <c r="D30" i="30" s="1"/>
  <c r="C28" i="30"/>
  <c r="D28" i="30" s="1"/>
  <c r="C25" i="30"/>
  <c r="D25" i="30" s="1"/>
  <c r="C23" i="30"/>
  <c r="D23" i="30" s="1"/>
  <c r="C21" i="30"/>
  <c r="D21" i="30" s="1"/>
  <c r="B20" i="30"/>
  <c r="B54" i="30"/>
  <c r="B50" i="30"/>
  <c r="B46" i="30"/>
  <c r="B43" i="30"/>
  <c r="B41" i="30"/>
  <c r="B39" i="30"/>
  <c r="B37" i="30"/>
  <c r="B35" i="30"/>
  <c r="B33" i="30"/>
  <c r="B31" i="30"/>
  <c r="B29" i="30"/>
  <c r="B27" i="30"/>
  <c r="B25" i="30"/>
  <c r="B21" i="30"/>
  <c r="C59" i="30"/>
  <c r="D59" i="30" s="1"/>
  <c r="C56" i="30"/>
  <c r="D56" i="30" s="1"/>
  <c r="C54" i="30"/>
  <c r="D54" i="30" s="1"/>
  <c r="C52" i="30"/>
  <c r="D52" i="30" s="1"/>
  <c r="C51" i="30"/>
  <c r="D51" i="30" s="1"/>
  <c r="C47" i="30"/>
  <c r="D47" i="30" s="1"/>
  <c r="C45" i="30"/>
  <c r="D45" i="30" s="1"/>
  <c r="C43" i="30"/>
  <c r="D43" i="30" s="1"/>
  <c r="C41" i="30"/>
  <c r="D41" i="30" s="1"/>
  <c r="C39" i="30"/>
  <c r="D39" i="30" s="1"/>
  <c r="C37" i="30"/>
  <c r="D37" i="30" s="1"/>
  <c r="C35" i="30"/>
  <c r="D35" i="30" s="1"/>
  <c r="C31" i="30"/>
  <c r="D31" i="30" s="1"/>
  <c r="C29" i="30"/>
  <c r="D29" i="30" s="1"/>
  <c r="C27" i="30"/>
  <c r="D27" i="30" s="1"/>
  <c r="C26" i="30"/>
  <c r="D26" i="30" s="1"/>
  <c r="C24" i="30"/>
  <c r="D24" i="30" s="1"/>
  <c r="C22" i="30"/>
  <c r="D22" i="30" s="1"/>
  <c r="E14" i="30"/>
  <c r="B57" i="30"/>
  <c r="B51" i="30"/>
  <c r="B45" i="30"/>
  <c r="C58" i="30"/>
  <c r="D58" i="30" s="1"/>
  <c r="B24" i="30"/>
  <c r="B55" i="30"/>
  <c r="B23" i="30"/>
  <c r="C33" i="30"/>
  <c r="D33" i="30" s="1"/>
  <c r="B56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<sst xmlns="http://schemas.openxmlformats.org/spreadsheetml/2006/main" count="14437" uniqueCount="2494">
  <si>
    <t>ID Brevet</t>
  </si>
  <si>
    <t>Thématique</t>
  </si>
  <si>
    <t>Sous-thématique</t>
  </si>
  <si>
    <t>Titre du Brevet</t>
  </si>
  <si>
    <t>Inventeur(s) / PI</t>
  </si>
  <si>
    <t>Hub / Laboratoire</t>
  </si>
  <si>
    <t>Référence IP</t>
  </si>
  <si>
    <t>N° Publication</t>
  </si>
  <si>
    <t>Date de dépôt</t>
  </si>
  <si>
    <t>Année</t>
  </si>
  <si>
    <t>Statut IP</t>
  </si>
  <si>
    <t>Statut normalisé</t>
  </si>
  <si>
    <t>Couverture Géo.</t>
  </si>
  <si>
    <t>Déposant / Titulaire</t>
  </si>
  <si>
    <t>% IP UM6P</t>
  </si>
  <si>
    <t>Partenaires</t>
  </si>
  <si>
    <t>Source</t>
  </si>
  <si>
    <t>Notes / Alertes</t>
  </si>
  <si>
    <t>ENV-001</t>
  </si>
  <si>
    <t>Environmental Tech &amp; Digital Mining</t>
  </si>
  <si>
    <t>ANTENNE POUR PUCE RFID ET SON APPLICATION</t>
  </si>
  <si>
    <t>MAScIR</t>
  </si>
  <si>
    <t>26/12/2018</t>
  </si>
  <si>
    <t>⚪ Non renseigné</t>
  </si>
  <si>
    <t>Portefeuille brevets Mascir</t>
  </si>
  <si>
    <t>ENV-002</t>
  </si>
  <si>
    <t>Antenne pour puce RFID UHF et son application</t>
  </si>
  <si>
    <t>LAKSSIR BRAHIM; EL AHMAR LATIFA; BOUZIDA ILHAM; ZBITOU JAMAL; ERRKIK AHMED</t>
  </si>
  <si>
    <t>13/09/2019</t>
  </si>
  <si>
    <t>5 PAYEE LE 28/4/2023</t>
  </si>
  <si>
    <t>🔵 Maintenu / En phase</t>
  </si>
  <si>
    <t>MAScIR + UNIVERSITE HASSAN 1er</t>
  </si>
  <si>
    <t>ENV-004</t>
  </si>
  <si>
    <t>Appareil non-invasif de spectroscopie par bi-dispersion électromagnétique micro-ondes pour la détection de l’activité osmotique et l’dentification des intrants dans un tissu végétale</t>
  </si>
  <si>
    <t>D4R</t>
  </si>
  <si>
    <t>MA52845</t>
  </si>
  <si>
    <t>26/03/2021</t>
  </si>
  <si>
    <t>National Phase</t>
  </si>
  <si>
    <t>ESITH, UH2C, CNESTEN (ESITH mandataire)</t>
  </si>
  <si>
    <t>UM6P Patents filed by TTO</t>
  </si>
  <si>
    <t>Delivered on 30/12/22</t>
  </si>
  <si>
    <t>ENV-010</t>
  </si>
  <si>
    <t>Capteur à résonance d’onde en mode guidé avec un film nonorode diélectrique</t>
  </si>
  <si>
    <t>DMITRY, SEKKAT</t>
  </si>
  <si>
    <t>17/12/2013</t>
  </si>
  <si>
    <t>ENV-011</t>
  </si>
  <si>
    <t>Capteur basé sur les modes de guide d'ondes hybrides</t>
  </si>
  <si>
    <t>Shinji HAYASHI Zouheir SEKKAT Dmitry V. NESTERENKO</t>
  </si>
  <si>
    <t>18/02/2014</t>
  </si>
  <si>
    <t>ENV-012</t>
  </si>
  <si>
    <t>Capteur de gaz à régulation automatique</t>
  </si>
  <si>
    <t>LAHLALIA Ayoub; Khadija EL KAMOUNY</t>
  </si>
  <si>
    <t>30/09/2022</t>
  </si>
  <si>
    <t>ENV-013</t>
  </si>
  <si>
    <t>Capteur de gaz hybride</t>
  </si>
  <si>
    <t>LAHLALIA Ayoub; EL KAMOUNY Khadija</t>
  </si>
  <si>
    <t>ENV-014</t>
  </si>
  <si>
    <t>Capteur de plasmon de surface utilisant un revetement dielectrique à haut indice de réfraction</t>
  </si>
  <si>
    <t>Zouheir Sekkat Dmitry V. Nesterenko</t>
  </si>
  <si>
    <t>29/01/2013</t>
  </si>
  <si>
    <t>DECHU</t>
  </si>
  <si>
    <t>🔴 Abandonné / Inactif</t>
  </si>
  <si>
    <t>ENV-030</t>
  </si>
  <si>
    <t>Design d'un capteur à base de modes optiques guidés dans une micropuce a structure périodique de milieux diélectriques à haute performance.</t>
  </si>
  <si>
    <t>Zouheir SEKKAT Dmitry NESTERENKO</t>
  </si>
  <si>
    <t>28/06/2012</t>
  </si>
  <si>
    <t>12 PAYEE 28/4/2023</t>
  </si>
  <si>
    <t>ENV-032</t>
  </si>
  <si>
    <t>DETECTEUR INTELLIGENT DES MICRO DEPLACEMENTS D'UN FAISCEAU LASER DE FAIBLE INTENSITE</t>
  </si>
  <si>
    <t>MAHBOUB OUSSAMA SEKKAT ZOUHEIR RAHMOUNI ANOUAR</t>
  </si>
  <si>
    <t>18/07/2013</t>
  </si>
  <si>
    <t>ENV-033</t>
  </si>
  <si>
    <t>Détection non destructive des pépins d’agrumes à base d’un système à balayage acoustique</t>
  </si>
  <si>
    <t>LAKSSIR, BOUZIDA, BENNANI</t>
  </si>
  <si>
    <t>ENV-044</t>
  </si>
  <si>
    <t>Dual emitting photoluminescent ink</t>
  </si>
  <si>
    <t>CBS</t>
  </si>
  <si>
    <t>MA53037</t>
  </si>
  <si>
    <t>OMPIC Application</t>
  </si>
  <si>
    <t>🟡 OMPIC – En cours</t>
  </si>
  <si>
    <t>Delivered on 31/01/23</t>
  </si>
  <si>
    <t>ENV-049</t>
  </si>
  <si>
    <t>Kit pour la détection différentielle des variants delta et Omicron du SARS-CoV-2</t>
  </si>
  <si>
    <t>BALOUIRI MOUNYR; EL HADI HICHAM; MOUMEN ABDELADIM</t>
  </si>
  <si>
    <t>31/12/2021</t>
  </si>
  <si>
    <t>3 PAYEE 16/2/2024</t>
  </si>
  <si>
    <t>ENV-050</t>
  </si>
  <si>
    <t>Laboratoire d’analyse sanguines rapide, miniature et portatif</t>
  </si>
  <si>
    <t>EL KAMOUNY Khadija; Fatima Ezzahra EL KAMOUNY</t>
  </si>
  <si>
    <t>31/05/2023</t>
  </si>
  <si>
    <t>MASCIR</t>
  </si>
  <si>
    <t>ENV-051</t>
  </si>
  <si>
    <t>Le Système Sulphos: Système d’analyse et de contrôle on-line et en continu de la concentration des ions sulfates</t>
  </si>
  <si>
    <t>CERPHOS (historique)</t>
  </si>
  <si>
    <t>MAROC</t>
  </si>
  <si>
    <t>CERPHOS patents</t>
  </si>
  <si>
    <t>Publication: MA26400A1</t>
  </si>
  <si>
    <t>ENV-065</t>
  </si>
  <si>
    <t>Méthode de détection des mutations ponctuelles conférant la résistance aux antibiotiques en utilisant une technique d’analyse du nombre de courbes de dissociation</t>
  </si>
  <si>
    <t>Hassan AIT BENHASSOU, Abdeladim MOUMEN, Hicham EL HADI, El Mehdi BENTALEB</t>
  </si>
  <si>
    <t>30/12/2016</t>
  </si>
  <si>
    <t>ENV-073</t>
  </si>
  <si>
    <t>MICROCAPTEUR DE GAZ A HAUTE SELECTIVITE</t>
  </si>
  <si>
    <t>GTI</t>
  </si>
  <si>
    <t>MA69736</t>
  </si>
  <si>
    <t>31/12/2024</t>
  </si>
  <si>
    <t>PCT</t>
  </si>
  <si>
    <t>🌐 PCT international</t>
  </si>
  <si>
    <t>OCP</t>
  </si>
  <si>
    <t>Positive RR</t>
  </si>
  <si>
    <t>ENV-092</t>
  </si>
  <si>
    <t>Procédé d’inspection visuelle pour la détection des nonconformités dans une chaine de fabrication de produits alimentaires.</t>
  </si>
  <si>
    <t>BOURZEIX FRANCOIS; BOURJA OMAR; DERROUZ HATIM</t>
  </si>
  <si>
    <t>ENV-107</t>
  </si>
  <si>
    <t>Procédé pour la détection de la méthylation de l’adénine et ses applications.</t>
  </si>
  <si>
    <t>ISSAM, KASMI YASSINE</t>
  </si>
  <si>
    <t>24/12/2018</t>
  </si>
  <si>
    <t>6 PAYEE LE 16/2/2024</t>
  </si>
  <si>
    <t>ENV-125</t>
  </si>
  <si>
    <t>SPECTROSCOPE A BASE DE RESONNANCE DE PLASMON DE SURFACE</t>
  </si>
  <si>
    <t>Rahmouni Anouar Mahboub Oussama Sekkat Zouheir</t>
  </si>
  <si>
    <t>ENV-131</t>
  </si>
  <si>
    <t>Système d'assistance pour détection de véhicule en infraction basé sur le traitement d'image</t>
  </si>
  <si>
    <t>Omar Bourja Yahia ZENNYI Hicham ISLAH</t>
  </si>
  <si>
    <t>19/12/2016</t>
  </si>
  <si>
    <t>8 PAYEE LE 16/2/2024</t>
  </si>
  <si>
    <t>ENV-140</t>
  </si>
  <si>
    <t>Système de détection automatique d’infractions routières à base de traitement vidéo</t>
  </si>
  <si>
    <t>ZENNAYI, BOURZEIX, BOURJA</t>
  </si>
  <si>
    <t>ENV-141</t>
  </si>
  <si>
    <t>Système de détection, d’identification et de traitement des adventices par télédétection</t>
  </si>
  <si>
    <t>Yahya ZENNAYI; Hamd AIT ABDELALI; Soukayna BENAISSA; Jihad BOURASSI</t>
  </si>
  <si>
    <t>30/12/2020</t>
  </si>
  <si>
    <t>A RESTAURER</t>
  </si>
  <si>
    <t>ENV-142</t>
  </si>
  <si>
    <t>Système de détection des infractions routières en tenant compte de la classification des véhicules</t>
  </si>
  <si>
    <t>Yahya ZENNAYI Omar BOURJA Othmane NAGGAR</t>
  </si>
  <si>
    <t>29/12/2016</t>
  </si>
  <si>
    <t>ENV-143</t>
  </si>
  <si>
    <t>Système de détection des infractions routières liées au non respect du sens de la circulation</t>
  </si>
  <si>
    <t>zennayi, Andronic, Naggar</t>
  </si>
  <si>
    <t>23/09/2015</t>
  </si>
  <si>
    <t>ENV-144</t>
  </si>
  <si>
    <t>Système de détection du bon fonctionnement des lampadaires d’éclairage public en utilisant de l’imagerie satellite</t>
  </si>
  <si>
    <t>NAGGAR OTHMANE; BOURZEIX FRANCOIS</t>
  </si>
  <si>
    <t>5 A PAYER</t>
  </si>
  <si>
    <t>ENV-149</t>
  </si>
  <si>
    <t>Système et procédé pour détecter les infractions routières liées aux changements de direction</t>
  </si>
  <si>
    <t>BOURZEIX FRANCOIS; OULAD HAJ THAMI Rachid; AIT ABDELALI HAMD</t>
  </si>
  <si>
    <t>28/12/2020</t>
  </si>
  <si>
    <t>4 PAYEE LE 16/2/2024</t>
  </si>
  <si>
    <t>ENV-156</t>
  </si>
  <si>
    <t>Test moléculaire pour une détection rapide et fiable des mutations responsables de la résistance à la Rifampicine</t>
  </si>
  <si>
    <t>AIT BENHASSOU, BENTALEB, SEFRIOUI</t>
  </si>
  <si>
    <t>17/10/2014</t>
  </si>
  <si>
    <t>10 PAYEE LE 28/4/2023</t>
  </si>
  <si>
    <t>ENV-022</t>
  </si>
  <si>
    <t>Compact intelligent composé de fenêtre auto nettoyante et d'un climatiseur</t>
  </si>
  <si>
    <t>BENNANI RACHID</t>
  </si>
  <si>
    <t>29/12/2020</t>
  </si>
  <si>
    <t>ENV-026</t>
  </si>
  <si>
    <t>Conception d'un module VHDL pour conversion automatique de débit d’images.</t>
  </si>
  <si>
    <t>François BOURZEIX Noreddine KACHKACHI</t>
  </si>
  <si>
    <t>26/10/2011</t>
  </si>
  <si>
    <t>13 PAYEE 28/4/2023</t>
  </si>
  <si>
    <t>ENV-028</t>
  </si>
  <si>
    <t>Conception d'un système embarqué électronique multifonctions pour multicaméras.</t>
  </si>
  <si>
    <t>François BOURZEIX Andronic BONARIJESY Noreddine KACHKACHI Zakaria RUICHEK</t>
  </si>
  <si>
    <t>ENV-127</t>
  </si>
  <si>
    <t>Système basé sur une architecture logicielle intelligente distribuée pour le pilotage et la prédiction de la production dans une mine à ciel ouvert</t>
  </si>
  <si>
    <t>ILO</t>
  </si>
  <si>
    <t>MA58223</t>
  </si>
  <si>
    <t>26/10/2022</t>
  </si>
  <si>
    <t>FRDISI</t>
  </si>
  <si>
    <t>Delivered on 31/07/24</t>
  </si>
  <si>
    <t>ENV-154</t>
  </si>
  <si>
    <t>Système monocaméra d'estimation de vitesse de véhicule par traitement vidéo avec calibration multicaméra par effet stéréoscopique</t>
  </si>
  <si>
    <t>BOURJA, BOURZEIX, SAFAA</t>
  </si>
  <si>
    <t>ENV-041</t>
  </si>
  <si>
    <t>DOCUMENT SECURISE, SON PROCEDE DE SECURISATION ET PROCEDE D’AUTHENTIFICATION DE CE DERNIER</t>
  </si>
  <si>
    <t>DICE</t>
  </si>
  <si>
    <t>MA59338</t>
  </si>
  <si>
    <t>Positive RR, delivered en 2024</t>
  </si>
  <si>
    <t>ENV-007</t>
  </si>
  <si>
    <t>Bionanocomposites hydrophobes à base d’argile et de biopolymère fonctionnalisé</t>
  </si>
  <si>
    <t>Bouhfid, Qaiss</t>
  </si>
  <si>
    <t>31/12/2015</t>
  </si>
  <si>
    <t>8 PAYEE LE 4/11/2022</t>
  </si>
  <si>
    <t>ENV-023</t>
  </si>
  <si>
    <t>Composite stratifié à renfort synthétique et à résine thermodurcissable dopée de graphène</t>
  </si>
  <si>
    <t>qaiss, Bouhfid</t>
  </si>
  <si>
    <t>31/03/2015</t>
  </si>
  <si>
    <t>ENV-024</t>
  </si>
  <si>
    <t>Composite stratifié à résine thermodurcissable chargé par l’argile</t>
  </si>
  <si>
    <t>ABOU EL KACEM QAISS BOUHFID RACHID ESSABIR HAMID</t>
  </si>
  <si>
    <t>17/09/2013</t>
  </si>
  <si>
    <t>ENV-025</t>
  </si>
  <si>
    <t>composites hybrides renforcés par des fibres de palmier à huile et d'argile</t>
  </si>
  <si>
    <t>QAISS, BOUHFID</t>
  </si>
  <si>
    <t>29/12/2015</t>
  </si>
  <si>
    <t>ENV-045</t>
  </si>
  <si>
    <t>Élaboration et caractérisation de nanoparticules de chromite substituée à usage industriel.</t>
  </si>
  <si>
    <t>BELAICHE, BRICHE, REDOUANY, MOUHIB</t>
  </si>
  <si>
    <t>11 PAYEE LE 16/2/2024</t>
  </si>
  <si>
    <t>ENV-046</t>
  </si>
  <si>
    <t>Fabrication de ZNMN spinelles et composites à partir de précurseurs à base de matière première contenant des impuretés</t>
  </si>
  <si>
    <t>El Moussaoui Hassan Hamedooune Mohammed Mounkachi Omar benyoussef Abdelilah</t>
  </si>
  <si>
    <t>35472?</t>
  </si>
  <si>
    <t>ENV-047</t>
  </si>
  <si>
    <t>Formulation de cuir végan à base de fibre naturelle</t>
  </si>
  <si>
    <t>RAJI MARYA; QAISS ABOU EL KACEM; BOUHFID RACHID</t>
  </si>
  <si>
    <t>28/12/2021</t>
  </si>
  <si>
    <t>KAD HOLDING + MAScIR</t>
  </si>
  <si>
    <t>ENV-048</t>
  </si>
  <si>
    <t>formulation de produits cosmétiques à base d'argile et de produits naturels</t>
  </si>
  <si>
    <t>BOUHFID Rachid ABOU EL KACEM Qaiss</t>
  </si>
  <si>
    <t>ENV-052</t>
  </si>
  <si>
    <t>Liquides ioniques dérivés du thiabendazoliumet leurs applications dans le domaine médical</t>
  </si>
  <si>
    <t>EL BOURKADI KHADIJA; MERGHOUB NAWAL; QAISS ABOU EL KACEM; BOUHFID RACHID</t>
  </si>
  <si>
    <t>29/12/2017</t>
  </si>
  <si>
    <t>7 PAYEE LE 28/4/2023</t>
  </si>
  <si>
    <t>ENV-053</t>
  </si>
  <si>
    <t>Matériau biocomposite à base de fibre d'eucalytus</t>
  </si>
  <si>
    <t>BOUHFID RACHID Qaiss Abou el kacem Ourhim Wafa</t>
  </si>
  <si>
    <t>16/08/2016</t>
  </si>
  <si>
    <t>ENV-054</t>
  </si>
  <si>
    <t>Matériau composite à renforcement hybride</t>
  </si>
  <si>
    <t>Qaiss Abou el kacem Bouhfid Rachid</t>
  </si>
  <si>
    <t>30/09/2015</t>
  </si>
  <si>
    <t>ENV-055</t>
  </si>
  <si>
    <t>Matériau conducteur électrique à base de mousse de polymère</t>
  </si>
  <si>
    <t>BOUHFID Rachid RAJI Marya QAISS Abou El Kacem</t>
  </si>
  <si>
    <t>8 PAYEE LE 28/4/2023</t>
  </si>
  <si>
    <t>ENV-056</t>
  </si>
  <si>
    <t>Matériau pour la fabrication de tores magnétique à partir des précurseurs non standards</t>
  </si>
  <si>
    <t>ELMOUSSAOUI,MOUNKACHI, BENALI, ELMAALAM, HAMEDOUN, BENYOUSSEF</t>
  </si>
  <si>
    <t>9 PAYEE LE 28/4/2023</t>
  </si>
  <si>
    <t>ENV-076</t>
  </si>
  <si>
    <t>Nanocomposites hybrides à base d'argile et de graphène</t>
  </si>
  <si>
    <t>BOUHFID RACHID QAISS ABOU EL KACEM</t>
  </si>
  <si>
    <t>ENV-090</t>
  </si>
  <si>
    <t>Préparation de nouveaux biocomposites chitosanargile modifiée.</t>
  </si>
  <si>
    <t>ESSASSI EL MOKHTAR ENNAJIH Hamid EL KADIB Abdelkrim BOUHFID Rachid</t>
  </si>
  <si>
    <t>13/08/2012</t>
  </si>
  <si>
    <t>ENV-095</t>
  </si>
  <si>
    <t>PROCEDE DE FABRICATION D’UN POLYMÈRE DE COORDINATION DE TYPE METALORGANIC FRAMEWORK ET SON UTILISATION</t>
  </si>
  <si>
    <t>MA57033</t>
  </si>
  <si>
    <t>13/06/2022</t>
  </si>
  <si>
    <t>Delivered on 29/03/24</t>
  </si>
  <si>
    <t>ENV-096</t>
  </si>
  <si>
    <t>Procédé de fabrication de biofilm par utilisation de polymère agroressource comme emballage intelligent pour l'agroalimentaire.</t>
  </si>
  <si>
    <t>BENHIMA REDOUANE ELKADIB ABDELKRIM BOUHFID RACHID WAHBY IMANE MEFTAH KADMIRI ISSAM</t>
  </si>
  <si>
    <t>11 PAYEE LE 28/4/2023</t>
  </si>
  <si>
    <t>ENV-099</t>
  </si>
  <si>
    <t>Procédé de préparation d'un emballage actif et intelligent à base de biopolymère pour le conditionnement des aliments.</t>
  </si>
  <si>
    <t>ESSAMLALI YOUNES; AMADINE OTHMANE; ZAHOUILY MOHAMED; DARDARI OTHMANE; SAIR SAID</t>
  </si>
  <si>
    <t>13/07/2023</t>
  </si>
  <si>
    <t>ENV-100</t>
  </si>
  <si>
    <t>PROCEDE DE PRODUCTION DE ZIF-8, DE SON COMPOSITE CHITOSAN@ZIF-8 ET LEUR APPLICATION</t>
  </si>
  <si>
    <t>MA56279</t>
  </si>
  <si>
    <t>29/03/2022</t>
  </si>
  <si>
    <t>Delivered 2024</t>
  </si>
  <si>
    <t>ENV-101</t>
  </si>
  <si>
    <t>Procédé de purification des argiles.</t>
  </si>
  <si>
    <t>El Mokhtar ESSASSI Mounir EL ACHABI Abouelkacem QAISS Rachid BOUHFID Khalid BENMOUSSA</t>
  </si>
  <si>
    <t>ENV-104</t>
  </si>
  <si>
    <t>Procédé de traitement des eaux par des biopolymères fonctionnels</t>
  </si>
  <si>
    <t>BOUHFID Rachid Qaiss Abou el kacem</t>
  </si>
  <si>
    <t>29/04/2014</t>
  </si>
  <si>
    <t>10 PAYEE LE 4/11/2022</t>
  </si>
  <si>
    <t>ENV-126</t>
  </si>
  <si>
    <t>Surfactant dérivé du quinolinium pour la modification d'argile</t>
  </si>
  <si>
    <t>REJET 7/7/2023</t>
  </si>
  <si>
    <t>🔴 Rejeté</t>
  </si>
  <si>
    <t>ENV-009</t>
  </si>
  <si>
    <t>Calcium sulfide decomposition process</t>
  </si>
  <si>
    <t>OCP | CERPHOS (historique)</t>
  </si>
  <si>
    <t>CA3082981; CN201880083065.3; EP2018807731; PCT/MA2018/000018; US16/766461</t>
  </si>
  <si>
    <t>CA3082981A1; CN111491892A; EP3713873A1; WO2019103585A1; US20210261412A1; US11383980B2</t>
  </si>
  <si>
    <t>Pending; Active; PCT designated stage expired</t>
  </si>
  <si>
    <t>✅ Délivré / Actif</t>
  </si>
  <si>
    <t>Canada; China; EPO; WIPO; United States</t>
  </si>
  <si>
    <t>OCP SA; OCP有限公司</t>
  </si>
  <si>
    <t>RU2020120430</t>
  </si>
  <si>
    <t>ENV-016</t>
  </si>
  <si>
    <t>Chemical phosphoric acid production unit comprising a phosphogypsum discharge system</t>
  </si>
  <si>
    <t>EP2017835717; IN201917025842; JOP20190135; PCT/MA2017/000027</t>
  </si>
  <si>
    <t>EP3551350A1; EP3551350B1; IN201917025842A; IN407292B; JOP20190135A1; WO2018106096A1</t>
  </si>
  <si>
    <t>Active; Undetermined; PCT designated stage expired</t>
  </si>
  <si>
    <t>EPO; India; Jordanien; WIPO</t>
  </si>
  <si>
    <t>OCP SA</t>
  </si>
  <si>
    <t>FR1662091</t>
  </si>
  <si>
    <t>ENV-017</t>
  </si>
  <si>
    <t>Chemical phosphoric acid production unit provided with a phosphogypsum discharge system</t>
  </si>
  <si>
    <t>IL267156; US16/467397</t>
  </si>
  <si>
    <t>IL267156A; US20200094209A1; US10864493B2</t>
  </si>
  <si>
    <t>Pending; Active</t>
  </si>
  <si>
    <t>Israel; United States</t>
  </si>
  <si>
    <t>ENV-019</t>
  </si>
  <si>
    <t>CHEMISCHE HERSTELLUNG VON PHOSPHORSÄURE MIT EINEM PHOSPHORGIPS-ENTLADUNGSSYSTEM</t>
  </si>
  <si>
    <t>AT2017835717T; DE602017069888</t>
  </si>
  <si>
    <t>AT1573401T; DE602017069888T2</t>
  </si>
  <si>
    <t>Active</t>
  </si>
  <si>
    <t>Austria; Germany</t>
  </si>
  <si>
    <t>ENV-057</t>
  </si>
  <si>
    <t>Method for calcium sulfide decomposition</t>
  </si>
  <si>
    <t>RU2776054C2</t>
  </si>
  <si>
    <t>Russia</t>
  </si>
  <si>
    <t>ENV-064</t>
  </si>
  <si>
    <t>Method of producing calcium fluoride from fluorosilicic acid</t>
  </si>
  <si>
    <t>RU2017140415</t>
  </si>
  <si>
    <t>RU2720313C2</t>
  </si>
  <si>
    <t>ENV-082</t>
  </si>
  <si>
    <t>Ombrière suiveuse de soleil</t>
  </si>
  <si>
    <t>BOUKHRAIS Essadik; BOURZEIX FRANCOIS; BOANARIJESY ANDRONIC</t>
  </si>
  <si>
    <t>25/04/2022</t>
  </si>
  <si>
    <t>ENV-084</t>
  </si>
  <si>
    <t>PHOSPHORGIPSABBAUVERFAHREN</t>
  </si>
  <si>
    <t>DE602018053722</t>
  </si>
  <si>
    <t>DE602018053722T2</t>
  </si>
  <si>
    <t>Germany</t>
  </si>
  <si>
    <t>RU2020120472</t>
  </si>
  <si>
    <t>ENV-085</t>
  </si>
  <si>
    <t>Phosphoric acid preparation</t>
  </si>
  <si>
    <t>CN201880085983.X; EP2018827152; PCT/FR2018/052794</t>
  </si>
  <si>
    <t>CN111587219A; EP3707098A1; WO2019092380A1</t>
  </si>
  <si>
    <t>Active; Pending; PCT designated stage expired</t>
  </si>
  <si>
    <t>China; EPO; WIPO</t>
  </si>
  <si>
    <t>OCP有限公司; COATEX; OCP SA</t>
  </si>
  <si>
    <t>FR1760550; FR1760548</t>
  </si>
  <si>
    <t>ENV-086</t>
  </si>
  <si>
    <t>Phosphoric acid production</t>
  </si>
  <si>
    <t>RU2020118880</t>
  </si>
  <si>
    <t>RU2783861C2</t>
  </si>
  <si>
    <t>ENV-110</t>
  </si>
  <si>
    <t>PROCEDIMIENTO PARA LA PRODUCCIÓN DE HIDRÓGENOFOSFATO DE ZINC HIDRATADO</t>
  </si>
  <si>
    <t>ARP20190102592</t>
  </si>
  <si>
    <t>AR116391A1</t>
  </si>
  <si>
    <t>Argentina</t>
  </si>
  <si>
    <t>WO2020055222</t>
  </si>
  <si>
    <t>ENV-114</t>
  </si>
  <si>
    <t>Process for preparing calcium fluoride from fluosilicic acid</t>
  </si>
  <si>
    <t>CN201680029715.7; EP2016783467; HK18110651; IN201717041074; OA1201700410; PCT/MA2016/000009; US15/568089</t>
  </si>
  <si>
    <t>CN108025923A; EP3286138A2; EP3286138B1; HK1251215A; HK1251215A1; IN201717041074A; OA18492A; WO2016171535A3; WO2016171535A2; US20180155207A1</t>
  </si>
  <si>
    <t>Active; Pending; Undetermined; PCT designated stage expired</t>
  </si>
  <si>
    <t>China; EPO; China Hong Kong; India; OAPI; WIPO; United States</t>
  </si>
  <si>
    <t>OCP有限公司; OCP SA; SAMRANE, KAMAL; KOSSIER, ABDELAALI</t>
  </si>
  <si>
    <t>ENV-118</t>
  </si>
  <si>
    <t>Process of preparation of calcium fluoride from fluosilicic acid</t>
  </si>
  <si>
    <t>ZA201707893</t>
  </si>
  <si>
    <t>ZA201707893B</t>
  </si>
  <si>
    <t>South Africa</t>
  </si>
  <si>
    <t>ENV-119</t>
  </si>
  <si>
    <t>Process of preparing of calcium fluoride from fluosilicic acid</t>
  </si>
  <si>
    <t>TN201700447</t>
  </si>
  <si>
    <t>TN2017000447A1</t>
  </si>
  <si>
    <t>Tunisia</t>
  </si>
  <si>
    <t>ENV-167</t>
  </si>
  <si>
    <t>CN201880085983.X</t>
  </si>
  <si>
    <t>CN111587219B</t>
  </si>
  <si>
    <t>China</t>
  </si>
  <si>
    <t>OCP有限公司</t>
  </si>
  <si>
    <t>FR1760548</t>
  </si>
  <si>
    <t>ENV-168</t>
  </si>
  <si>
    <t>RU2020118880A</t>
  </si>
  <si>
    <t>ENV-169</t>
  </si>
  <si>
    <t>RU2020118880A3</t>
  </si>
  <si>
    <t>ENV-170</t>
  </si>
  <si>
    <t>FR1760550</t>
  </si>
  <si>
    <t>ENV-171</t>
  </si>
  <si>
    <t>ENV-172</t>
  </si>
  <si>
    <t>ENV-180</t>
  </si>
  <si>
    <t>RU2017140415A</t>
  </si>
  <si>
    <t>ENV-181</t>
  </si>
  <si>
    <t>RU2017140415A3</t>
  </si>
  <si>
    <t>ENV-182</t>
  </si>
  <si>
    <t>CN201680029715.7</t>
  </si>
  <si>
    <t>CN108025923B</t>
  </si>
  <si>
    <t>ENV-183</t>
  </si>
  <si>
    <t>CN201880083065.3</t>
  </si>
  <si>
    <t>CN111491892B</t>
  </si>
  <si>
    <t>ENV-184</t>
  </si>
  <si>
    <t>RU2020120430A</t>
  </si>
  <si>
    <t>ENV-185</t>
  </si>
  <si>
    <t>RU2020120430A3</t>
  </si>
  <si>
    <t>Pending</t>
  </si>
  <si>
    <t>🟡 En examen</t>
  </si>
  <si>
    <t>Spain</t>
  </si>
  <si>
    <t>Inactive</t>
  </si>
  <si>
    <t>ENV-029</t>
  </si>
  <si>
    <t>Contôleur intélligent pour un système de purification d'eau par osmose inverse.</t>
  </si>
  <si>
    <t>ANDRONIC</t>
  </si>
  <si>
    <t>14/11/2014</t>
  </si>
  <si>
    <t>ENV-031</t>
  </si>
  <si>
    <t>Dessalement de l’eau de mer ou de l’eau saumâtre par l’utilisation directe de l’énergie éolienne</t>
  </si>
  <si>
    <t>MA25718</t>
  </si>
  <si>
    <t>Ceased</t>
  </si>
  <si>
    <t>Maroc</t>
  </si>
  <si>
    <t>MA24952 Publication -</t>
  </si>
  <si>
    <t>ENV-035</t>
  </si>
  <si>
    <t>Dispositif expérimental pour la photocatalyse des eaux usées</t>
  </si>
  <si>
    <t>BOUHFID RACHID QAISS ABOU EL KACEM ZARI NADIA Chkirida Soulaima</t>
  </si>
  <si>
    <t>30/12/2019</t>
  </si>
  <si>
    <t>5 PAYEE LE 16/2/2024</t>
  </si>
  <si>
    <t>ENV-039</t>
  </si>
  <si>
    <t>Dispositif pour le traitement en flux continu des eaux usées</t>
  </si>
  <si>
    <t>AIT-DAHI MEHDI; ZARI NADIA; QAISS ABOU EL KACEM; BOUHFID RACHID</t>
  </si>
  <si>
    <t>ENV-087</t>
  </si>
  <si>
    <t>Photocatalyseur monolithique d'oxyde de titane pour la décontamination de l'eau.</t>
  </si>
  <si>
    <t>SAMIR BRICHE, BELAICHE , YAACOUBI</t>
  </si>
  <si>
    <t>17/08/2017</t>
  </si>
  <si>
    <t>ENV-105</t>
  </si>
  <si>
    <t>PROCEDE INTEGRE DE SEQUESTRATION DE CO2 UTILISANT LA SAUMURE DE L’OSMOSE DIRECTE COMBINEE AVEC L’ELECTROLYSE</t>
  </si>
  <si>
    <t>ACER CoE</t>
  </si>
  <si>
    <t>OCP AS 149</t>
  </si>
  <si>
    <t>RR received (X)</t>
  </si>
  <si>
    <t>France</t>
  </si>
  <si>
    <t>ENV-006</t>
  </si>
  <si>
    <t>Bio-stimulant dérivé du digestat anaérobie de Gracilaria gracilis et Plocamium cartilagineum</t>
  </si>
  <si>
    <t>ASARI</t>
  </si>
  <si>
    <t>16/07/2025</t>
  </si>
  <si>
    <t>ENV-074</t>
  </si>
  <si>
    <t>Molécules hétérocycliques à motif benzothiazépine et indolizine et leurs activités biologiques</t>
  </si>
  <si>
    <t>BOUHFID RACHID QAISS ABOU EL KACEM MERGHOUB NAWAL Mekhzoum Mohamed El Mehdi EL BOURAKADI KHADIJA</t>
  </si>
  <si>
    <t>31/12/2019</t>
  </si>
  <si>
    <t>4 PAYEE LE 4/11/2022</t>
  </si>
  <si>
    <t>ENV-075</t>
  </si>
  <si>
    <t>Molécules hétérocycliques à motifs pyrazole et benzimidazole et leurs propriétés biologiques</t>
  </si>
  <si>
    <t>EL BOURKADI KHADIJA; ESSASSI EL MOKHTAR; QAISS ABOU EL KACEM; BOUHFID RACHID</t>
  </si>
  <si>
    <t>ENV-081</t>
  </si>
  <si>
    <t>Nouvelles bases de Schiff et leursactivitésbiologiques</t>
  </si>
  <si>
    <t>14/09/2018</t>
  </si>
  <si>
    <t>6 PAYEE LE 28/4/2023</t>
  </si>
  <si>
    <t>ENV-003</t>
  </si>
  <si>
    <t>APPAREIL D’ANALYSE COMPORTANT UN DISPOSITIF MICROONDES ET SON APPLICATION</t>
  </si>
  <si>
    <t>MA62698</t>
  </si>
  <si>
    <t>ENV-005</t>
  </si>
  <si>
    <t>APPAREIL PORTATIF POUR LE CONTROL NON-INVASIF DE LA GLYCEMIE</t>
  </si>
  <si>
    <t>MA53779</t>
  </si>
  <si>
    <t>20/07/2021</t>
  </si>
  <si>
    <t>Delivered on 28/04/23</t>
  </si>
  <si>
    <t>ENV-008</t>
  </si>
  <si>
    <t>BOITIER ELECTRONIQUE DE COMMANDE DE MOTEURS PAS A PAS HAUTE PRECISION ET MOYENS D’ACQUISITION DE DONNEES ET D’INTERFACAGE AVEC UNE UNITE DE TRAITEMENT DE DONNEES.</t>
  </si>
  <si>
    <t>Zouheir Sekkat Anouar Rahmouni</t>
  </si>
  <si>
    <t>27/12/2012</t>
  </si>
  <si>
    <t>12 PAYEE 16/2/2024</t>
  </si>
  <si>
    <t>ENV-015</t>
  </si>
  <si>
    <t>+ Certificat d’addition</t>
  </si>
  <si>
    <t>ENV-018</t>
  </si>
  <si>
    <t>CHEMICAL PLANT FOR THE PRODUCTION OF PHOSPHORIC ACID, EQUIPPED WITH A PHOSPHOGYPSUM REMOVAL SYSTEM</t>
  </si>
  <si>
    <t>RU2019120897</t>
  </si>
  <si>
    <t>RU2747955C2</t>
  </si>
  <si>
    <t>ENV-027</t>
  </si>
  <si>
    <t>Conception d’un support de montage de puce microélectronique pour un boitier DFN 5x3.2mm semigravé avec une broche à la masse</t>
  </si>
  <si>
    <t>Ouadi SAIDI Rachid BENNANI Brahim LAKSSIR Jihad KIWAN</t>
  </si>
  <si>
    <t>ENV-034</t>
  </si>
  <si>
    <t>Dispositif auto adaptatif micro-ondes pour le contrôle des ravageurs</t>
  </si>
  <si>
    <t>MA65159</t>
  </si>
  <si>
    <t>15/04/2024</t>
  </si>
  <si>
    <t>Delivered on 05/02/2026</t>
  </si>
  <si>
    <t>ENV-036</t>
  </si>
  <si>
    <t>Dispositif portatif d'analyse instantanée de la qualité d'une huile comestible</t>
  </si>
  <si>
    <t>Ouadi SAIDI Ilham BOUZIDA Brahim LAKSSIR Reda RABIE</t>
  </si>
  <si>
    <t>28/12/2016</t>
  </si>
  <si>
    <t>ENV-037</t>
  </si>
  <si>
    <t>DISPOSITIF POUR LA CONCENTRATION DES LIQUIDES ET SECHAGE DES SOLIDES PAR MICROONDES</t>
  </si>
  <si>
    <t>TechCell</t>
  </si>
  <si>
    <t>23/07/2025</t>
  </si>
  <si>
    <t>RR received (Y)</t>
  </si>
  <si>
    <t>ENV-038</t>
  </si>
  <si>
    <t>DISPOSITIF POUR LA SIMULATION DE PRISE EN MASSE DE PRODUITS GRANULAIRES ET PULVERILENTS ET SA MISE EN ŒUVRE</t>
  </si>
  <si>
    <t>22/01/2026</t>
  </si>
  <si>
    <t>RR not yet received</t>
  </si>
  <si>
    <t>ENV-040</t>
  </si>
  <si>
    <t>Dispositif pour semoir de semis conventionnel adapté au semis direct</t>
  </si>
  <si>
    <t>Al-Moutmir</t>
  </si>
  <si>
    <t>MA67575</t>
  </si>
  <si>
    <t>Almotmir</t>
  </si>
  <si>
    <t>ENV-043</t>
  </si>
  <si>
    <t>DSIPOSITIF POUR LA MESURE DE L’INTENSITE D’ECLAIREMENT ET DE LA TEMPERATURE DE FONCTIONNEMENT D’UNE STATION PV</t>
  </si>
  <si>
    <t>EL KAMOUNY Khadija OUASAID Mohamed CHOUAY Yassine</t>
  </si>
  <si>
    <t>25/12/2019</t>
  </si>
  <si>
    <t>ENV-058</t>
  </si>
  <si>
    <t>Method for manufacture of ceramic material for accumulation of heat energy</t>
  </si>
  <si>
    <t>RU2020132263</t>
  </si>
  <si>
    <t>RU2787164C2</t>
  </si>
  <si>
    <t>FR3078533</t>
  </si>
  <si>
    <t>ENV-059</t>
  </si>
  <si>
    <t>METHOD FOR OBTAINING SODIUM SULFATE FROM PHOSPHOGYPSUM</t>
  </si>
  <si>
    <t>RU2019105384</t>
  </si>
  <si>
    <t>RU2753536C2</t>
  </si>
  <si>
    <t>WO2018021900; MA44892</t>
  </si>
  <si>
    <t>ENV-060</t>
  </si>
  <si>
    <t>Method for phosphogypsum decomposition</t>
  </si>
  <si>
    <t>RU2775992C2</t>
  </si>
  <si>
    <t>ENV-061</t>
  </si>
  <si>
    <t>Method for producing sodium sulphate from phosphogypsum</t>
  </si>
  <si>
    <t>IN201917005153; MX2019001031; PCT/MA2017/000016</t>
  </si>
  <si>
    <t>IN201917005153A; MX2019001031A; WO2018021900A2; WO2018021900A3</t>
  </si>
  <si>
    <t>Active; PCT designated stage expired</t>
  </si>
  <si>
    <t>India; Mexico; WIPO</t>
  </si>
  <si>
    <t>ENV-062</t>
  </si>
  <si>
    <t>Method for purifying and for concentrating rare earths from phosphogypsum</t>
  </si>
  <si>
    <t>CN201980063988.7; EP2019783383; PCT/MA2019/000008</t>
  </si>
  <si>
    <t>CN112771185A; EP3856940A1; WO2020067856A1</t>
  </si>
  <si>
    <t>OCP有限公司; OCP SA</t>
  </si>
  <si>
    <t>WO2020067856</t>
  </si>
  <si>
    <t>ENV-063</t>
  </si>
  <si>
    <t>METHOD OF CLEANING PHOSPHORIC ACID BY NANOFILTRATION</t>
  </si>
  <si>
    <t>RU2014140320</t>
  </si>
  <si>
    <t>RU2625872C2</t>
  </si>
  <si>
    <t>OUSIPI SA (MA)</t>
  </si>
  <si>
    <t>ENV-066</t>
  </si>
  <si>
    <t>Méthode et dispositif d’intégration verticale de puce pour l’extraction d’ADN</t>
  </si>
  <si>
    <t>Ressami, Ait Benhassou, Lakssir</t>
  </si>
  <si>
    <t>ENV-067</t>
  </si>
  <si>
    <t>Méthode pour rendre une Prise Electrique Standard Intelligente</t>
  </si>
  <si>
    <t>SAIDI OUADI; HASSOU MOHAMED; CHERKAOUI KAMAL; BENNANI RACHID; LAKSSIR BRAHIM</t>
  </si>
  <si>
    <t>ENV-068</t>
  </si>
  <si>
    <t>METODE UNTUK PEMBUATAN SUATU PUPUK AMONIUM FOSFAT YANG MEMILIKI KANDUNGAN KADMIUM RENDAH</t>
  </si>
  <si>
    <t>IDP00201801611</t>
  </si>
  <si>
    <t>IDP000073011B; ID201810527A</t>
  </si>
  <si>
    <t>Indonesia</t>
  </si>
  <si>
    <t>WO2017023153; FR1557483</t>
  </si>
  <si>
    <t>ENV-069</t>
  </si>
  <si>
    <t>MÉTODO PARA A FABRICAÇÃO DE UM FERTILIZANTE DE FOSFATO DE AMÔNIO TENDO TEOR DE CÁDMIO BAIXO</t>
  </si>
  <si>
    <t>BR112018002341</t>
  </si>
  <si>
    <t>BR112018002341A2; BR112018002341B1</t>
  </si>
  <si>
    <t>Brazil</t>
  </si>
  <si>
    <t>ENV-070</t>
  </si>
  <si>
    <t>METODO PARA ELABORAR UN FERTILIZANTE DE FOSFATO DE AMONIO CON BAJO CONTENIDO DE CADMIO.</t>
  </si>
  <si>
    <t>MX2018001466</t>
  </si>
  <si>
    <t>MX387572B</t>
  </si>
  <si>
    <t>Mexico</t>
  </si>
  <si>
    <t>ENV-071</t>
  </si>
  <si>
    <t>MÉTODO PARA FABRICAR UM MATERIAL CERÂMICO PARA ARMAZENAMENTO DE ENERGIA TÉRMICA</t>
  </si>
  <si>
    <t>BR112020017789</t>
  </si>
  <si>
    <t>BR112020017789A2</t>
  </si>
  <si>
    <t>OCP SA; PRAYON; ASSOCIATION POUR LA RECHERCHE DEVELOPPEMENT DES METHODES ET PROCESSUS INDUSTRIELS - A.R.M.I.N.E.S.</t>
  </si>
  <si>
    <t>ENV-072</t>
  </si>
  <si>
    <t>MÉTODO PARA PRODUZIR HIDROGENOFOSFATO DE ZINCO HIDRATADO</t>
  </si>
  <si>
    <t>BR112021004652</t>
  </si>
  <si>
    <t>BR112021004652A2</t>
  </si>
  <si>
    <t>ENV-077</t>
  </si>
  <si>
    <t>Nanofiltrasyon ile fosforik asit arıtma yöntemi.</t>
  </si>
  <si>
    <t>TR201413561T</t>
  </si>
  <si>
    <t>TR201413561T1</t>
  </si>
  <si>
    <t>Turkey</t>
  </si>
  <si>
    <t>ENV-078</t>
  </si>
  <si>
    <t>Natural extracts from red algae as a bio-insecticide against cochineal</t>
  </si>
  <si>
    <t>MA60456</t>
  </si>
  <si>
    <t>22/05/2023</t>
  </si>
  <si>
    <t>Positive RR, delivered en 2025</t>
  </si>
  <si>
    <t>ENV-079</t>
  </si>
  <si>
    <t>Nouveau procédé de deserseniation des solutions aqueuses et en particulier H3PO4</t>
  </si>
  <si>
    <t>Publication: MA27222A1</t>
  </si>
  <si>
    <t>ENV-080</t>
  </si>
  <si>
    <t>Nouvelle utilisation du cuivre à la place de l’Or comme moyen d’interconnectivité dans les semiconducteurs et son procédé d’application</t>
  </si>
  <si>
    <t>Najim Mouadili Brahim Lakssir Tayrone Plata</t>
  </si>
  <si>
    <t>ENV-083</t>
  </si>
  <si>
    <t>Phosphogypsum decomposition process</t>
  </si>
  <si>
    <t>CA3082984; CN201880083140.6; EP2018807732; FI2018807732T; PCT/MA2018/000019; US16/766500</t>
  </si>
  <si>
    <t>CA3082984A1; CN111566051A; EP3713872A1; EP3713872B1; FI3713872T3; WO2019103586A1; US20200377375A1; US11383987B2</t>
  </si>
  <si>
    <t>Pending; Active; Undetermined; PCT designated stage expired</t>
  </si>
  <si>
    <t>Canada; China; EPO; Finland; WIPO; United States</t>
  </si>
  <si>
    <t>ENV-088</t>
  </si>
  <si>
    <t>PHƯƠNG PHÁP SẢN XUẤT PHÂN BÓN AMONI PHOSPHAT VÀ PHÂN BÓN THU ĐƯỢC TỪ PHƯƠNG PHÁP NÀY</t>
  </si>
  <si>
    <t>VN1201800875</t>
  </si>
  <si>
    <t>VN58291A</t>
  </si>
  <si>
    <t>Vietnam</t>
  </si>
  <si>
    <t>ENV-089</t>
  </si>
  <si>
    <t>Plateforme ultrasons miniaturisée portative</t>
  </si>
  <si>
    <t>Rachid Benani, Brahim Lakssir, Abdelhafid ALMATROUCH</t>
  </si>
  <si>
    <t>20/06/2016</t>
  </si>
  <si>
    <t>ENV-091</t>
  </si>
  <si>
    <t>Preparation of phosphoric acid</t>
  </si>
  <si>
    <t>JOP20200111; US16/762751</t>
  </si>
  <si>
    <t>JOP20200111A1; US20210171349A1; US11702338B2</t>
  </si>
  <si>
    <t>Undetermined; Active</t>
  </si>
  <si>
    <t>Jordanien; United States</t>
  </si>
  <si>
    <t>OCP SA; COATEX</t>
  </si>
  <si>
    <t>ENV-093</t>
  </si>
  <si>
    <t>Procédé de décorticage de noix d’arganier</t>
  </si>
  <si>
    <t>Qaiss, Bouhfid, Essabir</t>
  </si>
  <si>
    <t>9 PAYEE LE 4/11/2022</t>
  </si>
  <si>
    <t>ENV-094</t>
  </si>
  <si>
    <t>Procédé de dépôt de couches minces d’oxyde d'étain dopé au fluor (FTO) par pulvérisation ultrasonique</t>
  </si>
  <si>
    <t>Zouheir SEKKAT Zakaria LAGHFOUR Safae AAZOU</t>
  </si>
  <si>
    <t>25/12/2017</t>
  </si>
  <si>
    <t>6 PAYEE LE 4/11/2022</t>
  </si>
  <si>
    <t>ENV-097</t>
  </si>
  <si>
    <t>Procédé de fabrication des couches ultraminces organiques piézoélectriques</t>
  </si>
  <si>
    <t>ELMOUSSAOUI HASSAN TILSAGHANI Chakib MAHFOUD tarik HAMEDOUN Mohamed BENYOUSSEF ABDEL-ILAH</t>
  </si>
  <si>
    <t>31/08/2016</t>
  </si>
  <si>
    <t>ENV-098</t>
  </si>
  <si>
    <t>Procédé de fabrication du TSP riche en soufre</t>
  </si>
  <si>
    <t>Expired</t>
  </si>
  <si>
    <t>⚫ Expiré</t>
  </si>
  <si>
    <t>Publication MA25107A1</t>
  </si>
  <si>
    <t>ENV-102</t>
  </si>
  <si>
    <t>Procédé de traitement d’effluents et récupération des métaux tel que Cd</t>
  </si>
  <si>
    <t>Publication: MA23370A1</t>
  </si>
  <si>
    <t>ENV-103</t>
  </si>
  <si>
    <t>Procédé de traitement de solides cadmifères</t>
  </si>
  <si>
    <t>PCT/EP2007/05; 66; MA32262</t>
  </si>
  <si>
    <t>International; PCT; MAROC</t>
  </si>
  <si>
    <t>Publication MA31299 B1</t>
  </si>
  <si>
    <t>ENV-106</t>
  </si>
  <si>
    <t>Procédé pour l’extraction de noix des fruits secs.</t>
  </si>
  <si>
    <t>BOUHFID Rachid; ABOU EL KACEM Qaiss</t>
  </si>
  <si>
    <t>10 PAYEE 4/11/2022</t>
  </si>
  <si>
    <t>ENV-108</t>
  </si>
  <si>
    <t>Procedimiento de fabricación de un fertilizante a base de fosfato de amonio que presenta un contenido reducido en cadmio</t>
  </si>
  <si>
    <t>ES2016822283T</t>
  </si>
  <si>
    <t>ES2875409T3</t>
  </si>
  <si>
    <t>ENV-109</t>
  </si>
  <si>
    <t>Procedimiento de preparación del fluoruro de calcio a partir del ácido fluosilícico</t>
  </si>
  <si>
    <t>ES2016783467T</t>
  </si>
  <si>
    <t>ES2732943T3</t>
  </si>
  <si>
    <t>ENV-111</t>
  </si>
  <si>
    <t>PROCEDIMIENTO PARA PRODUCIR SULFATO DE SODIO A PARTIR DE FOSFOYESO</t>
  </si>
  <si>
    <t>ARP20170102128</t>
  </si>
  <si>
    <t>AR109181A1</t>
  </si>
  <si>
    <t>ENV-112</t>
  </si>
  <si>
    <t>PROCESO PARA PRODUCIR SULFATO DE SODIO A PARTIR DE FOSFOYESO</t>
  </si>
  <si>
    <t>MX2019001031</t>
  </si>
  <si>
    <t>MX402021B</t>
  </si>
  <si>
    <t>ENV-115</t>
  </si>
  <si>
    <t>Process for producing sodium sulphate from phosphogypsum</t>
  </si>
  <si>
    <t>IN201917005153; SA519400980; SG11201900716W; US16/320285; ZA201900892</t>
  </si>
  <si>
    <t>IN377822B; SA12164B1; SA519400980B1; SG11201900716WA; US20190263668A1; US10689261B2; ZA201900892B; ZA201900892A</t>
  </si>
  <si>
    <t>Active; Inactive</t>
  </si>
  <si>
    <t>India; Saudi Arabia; Singapore; United States; South Africa</t>
  </si>
  <si>
    <t>ENV-116</t>
  </si>
  <si>
    <t>Process for purifying and concentrating rare earths from phosphogypsum</t>
  </si>
  <si>
    <t>IL281830; JOP20210055; US17/279932</t>
  </si>
  <si>
    <t>IL281830A; JOP20210055A1; US20210388466A1</t>
  </si>
  <si>
    <t>Pending; Undetermined</t>
  </si>
  <si>
    <t>Israel; Jordanien; United States</t>
  </si>
  <si>
    <t>ENV-117</t>
  </si>
  <si>
    <t>Process for purifying phosphoric acid by nanofiltration</t>
  </si>
  <si>
    <t>AU2013228080; CA2870066; PCT/MA2013/000003; ZA201407233</t>
  </si>
  <si>
    <t>AU2013228080B2; AU2013228080A1; CA2870066A1; CA2870066C; WO2013133684A1; ZA201407233B; ZA201407233A</t>
  </si>
  <si>
    <t>Australia; Canada; WIPO; South Africa</t>
  </si>
  <si>
    <t>ENV-120</t>
  </si>
  <si>
    <t>PROCESSO PARA PRODUÇÃO DE SULFATO DE SÓDIO A PARTIR DE FOSFOGESSO</t>
  </si>
  <si>
    <t>BR112019001579</t>
  </si>
  <si>
    <t>BR112019001579A2</t>
  </si>
  <si>
    <t>ENV-121</t>
  </si>
  <si>
    <t>Radar pédagogique multifonctions</t>
  </si>
  <si>
    <t>KLILOU Abdessamad BOURZEIX François NAGGAR Othmane</t>
  </si>
  <si>
    <t>9 PAYEE LE 16/2/2024</t>
  </si>
  <si>
    <t>ENV-122</t>
  </si>
  <si>
    <t>Refining process for phosphoric acid</t>
  </si>
  <si>
    <t>JP1976121783</t>
  </si>
  <si>
    <t>JP1977052196A; JP1987045163B2</t>
  </si>
  <si>
    <t>Japan</t>
  </si>
  <si>
    <t>SANTORU DECHUUDO E DO RUSHERUSHU DE FUOSUFUAATO MINEROO SERUFUO</t>
  </si>
  <si>
    <t>BR7606813</t>
  </si>
  <si>
    <t>ENV-123</t>
  </si>
  <si>
    <t>Revêtement transparent superhydrophobe et antisalissure exempt de fluor pour béton et mortier de ciment</t>
  </si>
  <si>
    <t>BRICHE SAMIR; AGZENAI BEN SALEM YAHYA</t>
  </si>
  <si>
    <t>29/09/2021</t>
  </si>
  <si>
    <t>3 PAYEE LE 16/2/2024</t>
  </si>
  <si>
    <t>ENV-124</t>
  </si>
  <si>
    <t>SEMOIR DIRECT ADAPTE AU SOL SEC ET COHERENT</t>
  </si>
  <si>
    <t>21/04/2025</t>
  </si>
  <si>
    <t>ENV-128</t>
  </si>
  <si>
    <t>Système d'amélioration du contraste et de la lisibilité des plaques d'immatriculation des véhicules basé sur une approche par fusion</t>
  </si>
  <si>
    <t>Naggar, Bourja, Bourzeix</t>
  </si>
  <si>
    <t>ENV-129</t>
  </si>
  <si>
    <t>Système d'analyse du sol à base de caméra hyperspectrale</t>
  </si>
  <si>
    <t>BOURJA OMAR; ZENNAYI YAHYA; KABBAJ KAOUTAR</t>
  </si>
  <si>
    <t>ENV-130</t>
  </si>
  <si>
    <t>SYSTEME D'ANALYSE IMMUNO-CHROMATOGRAPHIQUE A FLUX LATERAL UTILISANT LES NANOPARTICULES POUR LA DETECTION RAPIDE DES ANTICORPAS ANTI-PEPTIDES CYCLIQUES CITRULLINES</t>
  </si>
  <si>
    <t>Sbihi Younes; Qmichou Zineb; El Abbadi Najia; El Mzibri Mohammed; Sefrioui Hassan</t>
  </si>
  <si>
    <t>29/01/2021</t>
  </si>
  <si>
    <t>4 A PAYER</t>
  </si>
  <si>
    <t>MAScIR + Centre National de l’Energie, des Sciences et des Techniques Nucléaires (CNESTEN)</t>
  </si>
  <si>
    <t>ENV-132</t>
  </si>
  <si>
    <t>SYSTEME D'ECRANS DEPLAÇABLES POUR TAILLE RABOT</t>
  </si>
  <si>
    <t>MA21614 (A1)</t>
  </si>
  <si>
    <t>Application n MA21867</t>
  </si>
  <si>
    <t>ENV-133</t>
  </si>
  <si>
    <t>Système d'estimation de la production de parcelles d'agrumes par imagerie smartphone</t>
  </si>
  <si>
    <t>AMAR OUMKELTOUM; ZENNAYI YAHYA; BOURJA OMAR; BOURZEIX FRANCOIS</t>
  </si>
  <si>
    <t>ENV-134</t>
  </si>
  <si>
    <t>Système d’estimation de vitesse des véhicules avec caméra lignes ou extraction de lignes de pixels</t>
  </si>
  <si>
    <t>BOURZEIX FRANCOIS BOURJA OMAR KILOU ABDESSAMAD</t>
  </si>
  <si>
    <t>ENV-135</t>
  </si>
  <si>
    <t>Système d’estimation de vitesse des véhicules par traitement vidéo à base de l’effet stéréoscopique latéral</t>
  </si>
  <si>
    <t>Bourja, BOANARIJESY , Zennayi</t>
  </si>
  <si>
    <t>ENV-136</t>
  </si>
  <si>
    <t>Système d’évaluation de la conduite d’un conducteur de véhicule par caméra</t>
  </si>
  <si>
    <t>Francois Bourziex Rajae Haouari Kaoutar Kabbaj</t>
  </si>
  <si>
    <t>25/10/2016</t>
  </si>
  <si>
    <t>ENV-137</t>
  </si>
  <si>
    <t>Système d’évaluation du comportement des animaux dans un zoo</t>
  </si>
  <si>
    <t>NAGGAR OTHMANE; ZENNAYI YAHYA; HAOUARI RAJAE</t>
  </si>
  <si>
    <t>ENV-138</t>
  </si>
  <si>
    <t>Système d’inspection visuelle de la partie moteur d’un véhicule</t>
  </si>
  <si>
    <t>BOURJA OMAR NAGGAR OTHMANE AIT ABDELALI HAMD</t>
  </si>
  <si>
    <t>ENV-139</t>
  </si>
  <si>
    <t>SYSTEME DE CONTROLE, DE PREDICTION ET D'OPTIMISATION ENERGETIQUE</t>
  </si>
  <si>
    <t>BENNANI Rachid; BENSALAH Mouad; STIRI Souhaima; LOUDARI Chaimae; LABRAHMI Mourad</t>
  </si>
  <si>
    <t>ENV-145</t>
  </si>
  <si>
    <t>Système électronique miniaturisé de mesure des propriétés physique d’un fluide le long d’un pipeline</t>
  </si>
  <si>
    <t>BENNANI,LAKSSIR,BOUZIDA,RESSAMI</t>
  </si>
  <si>
    <t>ENV-146</t>
  </si>
  <si>
    <t>SYSTEME ET METHODE DE SUPERVISION D'EQUIPEMENTS INDUSTRIELS</t>
  </si>
  <si>
    <t>SAIDI OUADI; LAKSSIR BRAHIM; BENNANI RACHID; SAOUD EL MUSTAPHA; AIT BOUAZZA BRAHIM</t>
  </si>
  <si>
    <t>28/12/2017</t>
  </si>
  <si>
    <t>MAScIR + MSI CONSEIL SARL</t>
  </si>
  <si>
    <t>ENV-147</t>
  </si>
  <si>
    <t>Système et méthode pour la traduction et standardisation du langage des signes</t>
  </si>
  <si>
    <t>BOURJA OMAR NAGGAR OTHMANE ZENNAYI YAHYA AIT ABDELALI HAMD</t>
  </si>
  <si>
    <t>27/12/2019</t>
  </si>
  <si>
    <t>ENV-148</t>
  </si>
  <si>
    <t>Système et procédé d’identification automatique d’un véhicule sur route basé sur des informations métriques</t>
  </si>
  <si>
    <t>BOURZEIX FRANCOIS DERROUZ Hatim OULAD HAJ THAMI Rachid</t>
  </si>
  <si>
    <t>6 PAYEE LE 7/7/2023</t>
  </si>
  <si>
    <t>Université Mohammed V RABAT + MAScIR</t>
  </si>
  <si>
    <t>ENV-150</t>
  </si>
  <si>
    <t>Système et procédé pour la gestion de la sécurité routière.</t>
  </si>
  <si>
    <t>SEFRIOUI KAWTAR; BERRADA ISMAIL; FARDOUSSE KHALID; NAGGAR OTHMANE; BOURZEIX FRANCOIS</t>
  </si>
  <si>
    <t>MAScIR + UM6P + Université Sidi Mohammed Ben Abdellah</t>
  </si>
  <si>
    <t>ENV-151</t>
  </si>
  <si>
    <t>Système intégré couplant la technique à induction magnétique avec le proche infrarouge (NIR) en un seul système miniaturisé.</t>
  </si>
  <si>
    <t>LAKSSIR, Ouadi</t>
  </si>
  <si>
    <t>26/06/2014</t>
  </si>
  <si>
    <t>ENV-152</t>
  </si>
  <si>
    <t>Système intelligent pour la gestion du trafic routier</t>
  </si>
  <si>
    <t>BOURZEIX FRANCOIS, HAOUARI RAJAE, KASSOU ISMAIL</t>
  </si>
  <si>
    <t>13/09/2018</t>
  </si>
  <si>
    <t>MAScIR + UNIVERSITE MOHAMMED V</t>
  </si>
  <si>
    <t>ENV-153</t>
  </si>
  <si>
    <t>Système intelligent pour la gestion du trafic routier dans les rondspoints</t>
  </si>
  <si>
    <t>HAOUARI RAJAE; BOURZEIX FRANCOIS; KASSOU ISMAIL</t>
  </si>
  <si>
    <t>15/05/2019</t>
  </si>
  <si>
    <t>5 PAYEE LE 4/11/2022</t>
  </si>
  <si>
    <t>ENV-155</t>
  </si>
  <si>
    <t>Système multi cameras d'estimation de vitesse de véhicules basé sur l'effet stéréoscopique</t>
  </si>
  <si>
    <t>SAFAA, BOURZEIX, BOURJA</t>
  </si>
  <si>
    <t>ENV-157</t>
  </si>
  <si>
    <t>Textile fluorescent à base de styrylquinoxaline</t>
  </si>
  <si>
    <t>Fardioui, Qaiss, Bouhfid</t>
  </si>
  <si>
    <t>ENV-158</t>
  </si>
  <si>
    <t>Textile magnétique et conducteur électrique et son procédé de fabrication</t>
  </si>
  <si>
    <t>BELAICHE MOHAMMED BRICHE SAMIR GMOUH SAID BOUKHRISS AICHA CHERKAOUI OMAR LAHLOU MOHAMED NADI AYOUB</t>
  </si>
  <si>
    <t>31/12/2018</t>
  </si>
  <si>
    <t>MAScIR / université Hassan II / ECOLE SUPERIEURE DES INDUSTRIES DU TEXTILE ET DE L'HABILLEMENT (ESITH)</t>
  </si>
  <si>
    <t>ENV-159</t>
  </si>
  <si>
    <t>TOUR PARALLELE A GRANDE HAUTEUR DE POINTE</t>
  </si>
  <si>
    <t>Publication: MA29580B1</t>
  </si>
  <si>
    <t>ENV-160</t>
  </si>
  <si>
    <t>Treatment of gypsum</t>
  </si>
  <si>
    <t>GB1973045691</t>
  </si>
  <si>
    <t>GB1443747A</t>
  </si>
  <si>
    <t>Great Britain</t>
  </si>
  <si>
    <t>CERPHOS PHOSPATES MINERAUX</t>
  </si>
  <si>
    <t>US3951675; GB1443747</t>
  </si>
  <si>
    <t>ENV-161</t>
  </si>
  <si>
    <t>Method for manufacturing an ammonium phosphate fertilizer having low cadmium content</t>
  </si>
  <si>
    <t>EA201890418</t>
  </si>
  <si>
    <t>EA201890418A1</t>
  </si>
  <si>
    <t>EAPO</t>
  </si>
  <si>
    <t>FR1557483</t>
  </si>
  <si>
    <t>ENV-162</t>
  </si>
  <si>
    <t>Method for manufacturing ammonium phosphate fertilizer having low cadmium content</t>
  </si>
  <si>
    <t>CN201680045317.4</t>
  </si>
  <si>
    <t>CN109071368B</t>
  </si>
  <si>
    <t>ENV-163</t>
  </si>
  <si>
    <t>JP2019531298</t>
  </si>
  <si>
    <t>JP2020513395A</t>
  </si>
  <si>
    <t>ENV-164</t>
  </si>
  <si>
    <t>JP7076450B2</t>
  </si>
  <si>
    <t>ENV-165</t>
  </si>
  <si>
    <t>RU2019120897A</t>
  </si>
  <si>
    <t>ENV-166</t>
  </si>
  <si>
    <t>RU2019120897A3</t>
  </si>
  <si>
    <t>ENV-173</t>
  </si>
  <si>
    <t>RU2020132263A3</t>
  </si>
  <si>
    <t>ENV-174</t>
  </si>
  <si>
    <t>RU2020132263A</t>
  </si>
  <si>
    <t>ENV-175</t>
  </si>
  <si>
    <t>JP1973110919</t>
  </si>
  <si>
    <t>JP1974093297A</t>
  </si>
  <si>
    <t>GB1443747</t>
  </si>
  <si>
    <t>RU2019105384A</t>
  </si>
  <si>
    <t>RU2019105384A3</t>
  </si>
  <si>
    <t>ENV-179</t>
  </si>
  <si>
    <t>RU2014140320A</t>
  </si>
  <si>
    <t>ENV-186</t>
  </si>
  <si>
    <t>RU2020120472A3</t>
  </si>
  <si>
    <t>ENV-187</t>
  </si>
  <si>
    <t>CN201880083140.6</t>
  </si>
  <si>
    <t>CN111566051B</t>
  </si>
  <si>
    <t>ENV-188</t>
  </si>
  <si>
    <t>RU2020120472A</t>
  </si>
  <si>
    <t>ENV-190</t>
  </si>
  <si>
    <t>US3951675</t>
  </si>
  <si>
    <t>ENV-191</t>
  </si>
  <si>
    <t>WO2017023153</t>
  </si>
  <si>
    <t>ENV-192</t>
  </si>
  <si>
    <t>ENV-193</t>
  </si>
  <si>
    <t>WO2018021900</t>
  </si>
  <si>
    <t>ENV-194</t>
  </si>
  <si>
    <t>ENV-195</t>
  </si>
  <si>
    <t>CN201980063988.7</t>
  </si>
  <si>
    <t>CN112771185B</t>
  </si>
  <si>
    <t>ENV-196</t>
  </si>
  <si>
    <t>Un réfrigérateur magnétique basé sur le transfert de chaleur par des nanofluides</t>
  </si>
  <si>
    <t>mounkachi, Hamedoun, Benyoussef,</t>
  </si>
  <si>
    <t>ENV-197</t>
  </si>
  <si>
    <t>Utilisation de composition a base d'extrats issus MicroAlagues pour le soin des peaux acnéiques</t>
  </si>
  <si>
    <t>WAHBY, MERGHOUB</t>
  </si>
  <si>
    <t>ENV-198</t>
  </si>
  <si>
    <t>Verfahren zur Gewinnung von Uranverbindungen</t>
  </si>
  <si>
    <t>DEC0017173</t>
  </si>
  <si>
    <t>DE1157591B</t>
  </si>
  <si>
    <t>CT D ETUDES ET DE RECH S DES P</t>
  </si>
  <si>
    <t>US3044848</t>
  </si>
  <si>
    <t>ENV-199</t>
  </si>
  <si>
    <t>VERFAHREN ZUR HERSTELLUNG VON CALCIUMFLUORID AUS FLUORKIESELSÄURE</t>
  </si>
  <si>
    <t>AT2016783467T; DE602016012388</t>
  </si>
  <si>
    <t>AT1118404T; DE602016012388T2</t>
  </si>
  <si>
    <t>Inactive; Active</t>
  </si>
  <si>
    <t>ENV-200</t>
  </si>
  <si>
    <t>Verre autonettoyant et son procédé de fabrication</t>
  </si>
  <si>
    <t>BRICHE SAMIR; BOUTAMART Mustapha</t>
  </si>
  <si>
    <t>20/09/2019</t>
  </si>
  <si>
    <t>Mineral Processing &amp; Strategic Synthesis</t>
  </si>
  <si>
    <t>Undetermined</t>
  </si>
  <si>
    <t>⚪ Indéterminé</t>
  </si>
  <si>
    <t>Morocco</t>
  </si>
  <si>
    <t>Active; Undetermined</t>
  </si>
  <si>
    <t>MIN-018</t>
  </si>
  <si>
    <t>KARBONATLARI IHTIVA EDEN FOSFAT MADENLERINI FLOTASYONLA ZENGINLESTIREN YENI YOENTEM</t>
  </si>
  <si>
    <t>TR197418441</t>
  </si>
  <si>
    <t>TR18441A</t>
  </si>
  <si>
    <t>OFFICE CHERIFIEN DES PHOSPHATES</t>
  </si>
  <si>
    <t>US4008151</t>
  </si>
  <si>
    <t>MIN-025</t>
  </si>
  <si>
    <t>MATERIAUX COMPOSITES RENFORCES PAR DES CARBONATES DE CALCIUM D'ORIGINE BIOLOGIQUE</t>
  </si>
  <si>
    <t>MIN-046</t>
  </si>
  <si>
    <t>New process for enrichment,by flotation,of phosphate ores with gangues containing carbonates</t>
  </si>
  <si>
    <t>IN2357CAL1974</t>
  </si>
  <si>
    <t>IN143913B</t>
  </si>
  <si>
    <t>India</t>
  </si>
  <si>
    <t>MIN-047</t>
  </si>
  <si>
    <t>Nouveau procédé d'enrichissement, par flottation, de minerais de phosphates à gangue contenant des carbonates.</t>
  </si>
  <si>
    <t>OA55348</t>
  </si>
  <si>
    <t>OA4944A</t>
  </si>
  <si>
    <t>OAPI</t>
  </si>
  <si>
    <t>MIN-102</t>
  </si>
  <si>
    <t>Process for enrichment, by flotation, of phosphate ores with gangues containing carbonates</t>
  </si>
  <si>
    <t>US05/519012</t>
  </si>
  <si>
    <t>US4008151A</t>
  </si>
  <si>
    <t>United States</t>
  </si>
  <si>
    <t>MIN-126</t>
  </si>
  <si>
    <t>FR1973038413</t>
  </si>
  <si>
    <t>FR2248878A1</t>
  </si>
  <si>
    <t>OFFICE CHERIFIEN PHOSPHATES,MA; OFFICE CHERIFIEN PHOSPHATES</t>
  </si>
  <si>
    <t>MIN-127</t>
  </si>
  <si>
    <t>FR2248878B1</t>
  </si>
  <si>
    <t>MIN-011</t>
  </si>
  <si>
    <t>Elimination du vanadium dans l’acide phosphorique</t>
  </si>
  <si>
    <t>MA21706</t>
  </si>
  <si>
    <t>Publication: MA21463A1</t>
  </si>
  <si>
    <t>MIN-048</t>
  </si>
  <si>
    <t>Nouveau procédé de concentration d’acide phosphorique par la technique de distillation azéotropique.</t>
  </si>
  <si>
    <t>Publication: MA32260B1</t>
  </si>
  <si>
    <t>MIN-050</t>
  </si>
  <si>
    <t>NOUVEAU PROCEDE DE PRODUCTION ET PURIFICATION D'ACIDE PHOSPHORIQUE</t>
  </si>
  <si>
    <t>MSN</t>
  </si>
  <si>
    <t>MA62929</t>
  </si>
  <si>
    <t>26/10/2023</t>
  </si>
  <si>
    <t>MIN-052</t>
  </si>
  <si>
    <t>Nouveaux procédés de dècadmiation d’acide phosphorique</t>
  </si>
  <si>
    <t>Publication: MA23803A1</t>
  </si>
  <si>
    <t>MIN-055</t>
  </si>
  <si>
    <t>PREPARATION D'ACIDE PHOSPHORIQUE</t>
  </si>
  <si>
    <t>FR2017060550</t>
  </si>
  <si>
    <t>FR3073218A1; FR3073218B1</t>
  </si>
  <si>
    <t>COATEX; OCP SA</t>
  </si>
  <si>
    <t>MIN-059</t>
  </si>
  <si>
    <t>Procédé d’élimination des métaux lourds de l'acide phosphorique</t>
  </si>
  <si>
    <t>MA47004</t>
  </si>
  <si>
    <t>18/09/2019</t>
  </si>
  <si>
    <t>UH2C; UH1S</t>
  </si>
  <si>
    <t>Delivered on 29/07/21</t>
  </si>
  <si>
    <t>MIN-060</t>
  </si>
  <si>
    <t>PROCEDE D'ELIMINATION DES METAUX LOURDS ET NOTAMMENT DU CADMIUM, CONTENUS DANS L'ACIDE PHOSPHORIQUE.</t>
  </si>
  <si>
    <t>MA21705</t>
  </si>
  <si>
    <t>MA21462A1</t>
  </si>
  <si>
    <t>CERPHOS</t>
  </si>
  <si>
    <t>MIN-061</t>
  </si>
  <si>
    <t>Procédé d’élimination des radioéléments et des terres rares de l’acide phosphorique</t>
  </si>
  <si>
    <t>Publication: MA25557A1</t>
  </si>
  <si>
    <t>MIN-062</t>
  </si>
  <si>
    <t>PROCEDE D’OBTENTION DE SELS D’URANIUM PAR NANOFILTRATION D’UN ELUAT ACIDE</t>
  </si>
  <si>
    <t>MA57233</t>
  </si>
  <si>
    <t>25/07/2022</t>
  </si>
  <si>
    <t>Delivered on 30/04/24</t>
  </si>
  <si>
    <t>MIN-063</t>
  </si>
  <si>
    <t>Procédé de démétallisation de l’acide phosphorique par nanofiltration pour la production de l’acide phosphorique de qualité animale (F-PPA)</t>
  </si>
  <si>
    <t>21/01/2026</t>
  </si>
  <si>
    <t>MIN-081</t>
  </si>
  <si>
    <t>PROCEDE DE PURIFICATION D'ACIDE PHOSPHORIQUE PAR NANOFILTRATION</t>
  </si>
  <si>
    <t>FR2012052031</t>
  </si>
  <si>
    <t>FR2987830B1; FR2987830A1</t>
  </si>
  <si>
    <t>MIN-091</t>
  </si>
  <si>
    <t>PROCEDE DE TRAITEMENT DU PHOSPHATE PAR LA LIXIVIATION A L’ACIDE PHOSPHORIQUE</t>
  </si>
  <si>
    <t>CEPH</t>
  </si>
  <si>
    <t>MA68860</t>
  </si>
  <si>
    <t>MIN-097</t>
  </si>
  <si>
    <t>PROCEDE POUR L'EPURATION DE L'ACIDE PHOSPHORIQUE</t>
  </si>
  <si>
    <t>FR1975031518</t>
  </si>
  <si>
    <t>FR2327961A1; FR2327961B1</t>
  </si>
  <si>
    <t>CERPHOS CTRE ETUD RECHERC PHOSPH; OFFICE CHERIFIEN PHOSPHATES</t>
  </si>
  <si>
    <t>MIN-104</t>
  </si>
  <si>
    <t>Process for phosphoric acid purification</t>
  </si>
  <si>
    <t>GR19760151845</t>
  </si>
  <si>
    <t>GR61279B</t>
  </si>
  <si>
    <t>Greece</t>
  </si>
  <si>
    <t>CERPHOS CENTRE ETUDES RECH PHOSPHATES MINERAUX</t>
  </si>
  <si>
    <t>MIN-106</t>
  </si>
  <si>
    <t>Process for removing heavy metals, and especially cadmium, contained in phosphoric acid</t>
  </si>
  <si>
    <t>FR1988004804</t>
  </si>
  <si>
    <t>FR2629812B1; FR2629812A1</t>
  </si>
  <si>
    <t>MIN-107</t>
  </si>
  <si>
    <t>Process for the purification of phosphoric acid</t>
  </si>
  <si>
    <t>ES1976452248; GB1976042097</t>
  </si>
  <si>
    <t>ES452248A1; GB1556478A</t>
  </si>
  <si>
    <t>Spain; Great Britain</t>
  </si>
  <si>
    <t>CENTRE D'ETUDES ET DE RECHERCHES DE PHOSPHATES M.; CENTRE D'ETUDES ET DE RECHERCHES DES PHOSPHATES MINERAUX</t>
  </si>
  <si>
    <t>MIN-109</t>
  </si>
  <si>
    <t>Process for the recovery of uranium from wet-process phosphoric acid</t>
  </si>
  <si>
    <t>US61/674297; US61/716630</t>
  </si>
  <si>
    <t>US61674297P0; US61716630P0</t>
  </si>
  <si>
    <t>WILLIAM W. BERRY; THOMAS E. BAROODY</t>
  </si>
  <si>
    <t>US9702026</t>
  </si>
  <si>
    <t>MIN-110</t>
  </si>
  <si>
    <t>Processes for the recovery of uranium from industrial phosphoric acid using dual or single cycle continuous ion exchange approaches</t>
  </si>
  <si>
    <t>US14/416271</t>
  </si>
  <si>
    <t>US9702026B2</t>
  </si>
  <si>
    <t>K-TECHNOLOGIES, INC.</t>
  </si>
  <si>
    <t>MIN-111</t>
  </si>
  <si>
    <t>Processes for the recovery of uranium from wet-process phosphoric acid using a single dual or dual single cycle ion exchange approaches</t>
  </si>
  <si>
    <t>PCT/US2013/051417</t>
  </si>
  <si>
    <t>WO2014018422A1</t>
  </si>
  <si>
    <t>PCT designated stage expired</t>
  </si>
  <si>
    <t>WIPO</t>
  </si>
  <si>
    <t>MIN-112</t>
  </si>
  <si>
    <t>Processes for the recovery of uranium from wet-process phosphoric acid using dual or single cycle continuous ion exchange approaches</t>
  </si>
  <si>
    <t>US15/612684; US16/101807</t>
  </si>
  <si>
    <t>US10060011B2; US20190078176A1; US11047022B2</t>
  </si>
  <si>
    <t>K-TECHNOLOGIES, INC.; OCP S.A.</t>
  </si>
  <si>
    <t>MIN-113</t>
  </si>
  <si>
    <t>Processes for the recovery of uranium from wet-process phosphoric acid using dual or single cycle ion exchange approaches</t>
  </si>
  <si>
    <t>US14/416271; US15/612684</t>
  </si>
  <si>
    <t>US20150203939A1; US20170335430A1</t>
  </si>
  <si>
    <t>MIN-013</t>
  </si>
  <si>
    <t>EXTRACTION D’URANIUM A PARTIR DE MATRICES MINERALES PHOSPHATÉES</t>
  </si>
  <si>
    <t>MA62177</t>
  </si>
  <si>
    <t>22/08/2023</t>
  </si>
  <si>
    <t>MIN-026</t>
  </si>
  <si>
    <t>Matériaux nano ferrite à base des terres rares pour des applications médicales et de télécommunications</t>
  </si>
  <si>
    <t>Hamedoun Mohammed; ELMOUSSAOUI Hassan; MAHFOUD Tarik; BENYOUSSEF Abdel-ilah; MAHHOUTI Zakaria</t>
  </si>
  <si>
    <t>MIN-039</t>
  </si>
  <si>
    <t>Method of uranium recovery</t>
  </si>
  <si>
    <t>CH1958061659; US1958747128</t>
  </si>
  <si>
    <t>CH385494A; US3044848A</t>
  </si>
  <si>
    <t>Switzerland; United States</t>
  </si>
  <si>
    <t>CENTRE D'ETUDES ET DE RECHERCHES DES PHOSPHATES MINERAUX CERPHOS</t>
  </si>
  <si>
    <t>MIN-057</t>
  </si>
  <si>
    <t>Procédé d’élimination d’uranium de l’H3P04</t>
  </si>
  <si>
    <t>Publication MA24949A1</t>
  </si>
  <si>
    <t>MIN-083</t>
  </si>
  <si>
    <t>Procédé de récupération de l'uranium</t>
  </si>
  <si>
    <t>FR1178791DA</t>
  </si>
  <si>
    <t>FR1178791A</t>
  </si>
  <si>
    <t>COMPTOIR DES PHOSPHATES DE L'AFRIQUE DU NORD</t>
  </si>
  <si>
    <t>MIN-108</t>
  </si>
  <si>
    <t>Process for the recovery of uranium</t>
  </si>
  <si>
    <t>GB1958022316</t>
  </si>
  <si>
    <t>GB846360A</t>
  </si>
  <si>
    <t>MIN-028</t>
  </si>
  <si>
    <t>Matériaux vitreux phosphatés et leurs formulations à base de phosphate naturel</t>
  </si>
  <si>
    <t>Publication: MA25698A1</t>
  </si>
  <si>
    <t>MIN-030</t>
  </si>
  <si>
    <t>CN109071368A</t>
  </si>
  <si>
    <t>MIN-032</t>
  </si>
  <si>
    <t>AU2016303902; CA2993518; EA201890418; EP2016822283; HK18115779; HUE16822283; IL257286; IN201817003532; MX2018001466; PCT/MA2016/000012; PL2016822283T; SG11201800810R; US15/750053; ZA201800652</t>
  </si>
  <si>
    <t>AU2016303902A1; AU2016303902B2; CA2993518A1; CA2993518C; EA035357B1; EP3331841A2; EP3331841B1; HK1256723A; HK1256723A1; HUE054820T2; IL257286A; IN201817003532A; IN413446B; MX2018001466A; WO2017023153A3; WO2017023153A2; PL3331841T3; SG11201800810RA; SG11201800810RB; US20180222809A1; US10947164B2; ZA201800652B; ZA201800652A</t>
  </si>
  <si>
    <t>Active; PCT designated stage expired; Undetermined</t>
  </si>
  <si>
    <t>Australia; Canada; EAPO; EPO; China Hong Kong; Hungary; Israel; India; Mexico; WIPO; Poland; Singapore; United States; South Africa</t>
  </si>
  <si>
    <t>OCP SA; SAMRANE, KAMAL; KOSSIR, ABDELAALI; KHOULOUD, MEHDI</t>
  </si>
  <si>
    <t>MIN-054</t>
  </si>
  <si>
    <t>Phosphate Glass Fibers Procédé de fabrication de fibre de verre de phosphate</t>
  </si>
  <si>
    <t>MA47836</t>
  </si>
  <si>
    <t>UH2C; ESITH (ESITH mandataire)</t>
  </si>
  <si>
    <t>Delivered on 29/10/21</t>
  </si>
  <si>
    <t>MIN-067</t>
  </si>
  <si>
    <t>Procédé de fabrication d'hydrogéno-phosphate de zinc hydraté.</t>
  </si>
  <si>
    <t>OA1202100126</t>
  </si>
  <si>
    <t>OA20180A</t>
  </si>
  <si>
    <t>MIN-068</t>
  </si>
  <si>
    <t>PROCEDE DE FABRICATION D'HYDROGENOPHOSPHATE DE ZINC HYDRATE</t>
  </si>
  <si>
    <t>FR2018058193</t>
  </si>
  <si>
    <t>FR3085674A1; FR3085674B1</t>
  </si>
  <si>
    <t>MIN-075</t>
  </si>
  <si>
    <t>PROCEDE DE FABRICATION DE PLATRE</t>
  </si>
  <si>
    <t>BE0135986; OA55013</t>
  </si>
  <si>
    <t>BE805250A; OA4554A</t>
  </si>
  <si>
    <t>Belgium; OAPI</t>
  </si>
  <si>
    <t>CERPHOS PHOSPHATES MINERAUX; CENTRE D'ETUDES ET DE RECHERCHES DES PHOSPHATES MINERAUX - CERPHOS</t>
  </si>
  <si>
    <t>MIN-080</t>
  </si>
  <si>
    <t>Procédé de production de struvite de haute pureté à partir d'une saumure de traitement de carnallite</t>
  </si>
  <si>
    <t>GSMI</t>
  </si>
  <si>
    <t>MA63897</t>
  </si>
  <si>
    <t>MIN-096</t>
  </si>
  <si>
    <t>PROCEDE ET INSTALLATION DE PRODUCTION DE TRIPLE SUPERPHOSPHATE (TSP) GRANULE</t>
  </si>
  <si>
    <t>MA22842</t>
  </si>
  <si>
    <t>MA22552 (A1) Publication</t>
  </si>
  <si>
    <t>MIN-056</t>
  </si>
  <si>
    <t>Procédé chimique pour le traitement du minerai de potasse de type carnallite (KCl.MgCl2.6H2O) associé à l’halite (NaCl)</t>
  </si>
  <si>
    <t>TECHCELL</t>
  </si>
  <si>
    <t>MIN-077</t>
  </si>
  <si>
    <t>Procédé de production d'hydroxyde de magnésium et de chlorure de potassium de haute pureté à partir d'une saumure de traitement de la carnallite</t>
  </si>
  <si>
    <t>MA63889</t>
  </si>
  <si>
    <t>31/01/2024</t>
  </si>
  <si>
    <t>MIN-094</t>
  </si>
  <si>
    <t>PROCEDE DE TRAITEMENT THERMIQUE DU MINERAI DE CARNALLITE ASSOCIE A DE L’HALITE</t>
  </si>
  <si>
    <t>16/05/2025</t>
  </si>
  <si>
    <t>MIN-105</t>
  </si>
  <si>
    <t>Process for producing sodium sulfate from phosphate gypsum</t>
  </si>
  <si>
    <t>SA519400980</t>
  </si>
  <si>
    <t>SA519400980A</t>
  </si>
  <si>
    <t>Saudi Arabia</t>
  </si>
  <si>
    <t>MIN-001</t>
  </si>
  <si>
    <t>Aimant à base de nanoparticules de ferrite spinelle</t>
  </si>
  <si>
    <t>mounkachi, Hamedou, Benyoussef, ABRAIME</t>
  </si>
  <si>
    <t>MA40291</t>
  </si>
  <si>
    <t>MIN-008</t>
  </si>
  <si>
    <t>Elaboration et caractérisation des ferrite de manganèse MnFe2O4 à partir de réactifs non standards</t>
  </si>
  <si>
    <t>35476?</t>
  </si>
  <si>
    <t>20/02/2013</t>
  </si>
  <si>
    <t>⚠️ À vérifier</t>
  </si>
  <si>
    <t>MIN-009</t>
  </si>
  <si>
    <t>Elaboration et caractérisation des ferrite de zinc ZnFe2O4 à partir de réactifs non standards</t>
  </si>
  <si>
    <t>MOUHIB YASSINE REDOUANY YASSINE BELAICHE MOHAMMED BRICHE SAMIR</t>
  </si>
  <si>
    <t>35486?</t>
  </si>
  <si>
    <t>20/03/2013</t>
  </si>
  <si>
    <t>MIN-014</t>
  </si>
  <si>
    <t>Ferrite photocatalytique élaboré par procédé solgel et ses applications</t>
  </si>
  <si>
    <t>briche, belaiche, Yaakoubi</t>
  </si>
  <si>
    <t>23/12/2015</t>
  </si>
  <si>
    <t>MIN-015</t>
  </si>
  <si>
    <t>Ferrites et Nanoférrites: Semiconducteurs magnétiques demimétaliques nanostructurés.</t>
  </si>
  <si>
    <t>MOHAMED BELAICHE OMAR MOUNKACHI abdelilah BENYOUSSEF MOHAMED HAMDOUN</t>
  </si>
  <si>
    <t>30/06/2011</t>
  </si>
  <si>
    <t>13 Payèe 3/4/2023</t>
  </si>
  <si>
    <t>MIN-019</t>
  </si>
  <si>
    <t>Matériau composite à base de pérovskite et ses applications dans le domaine de la réfrigération magnétique</t>
  </si>
  <si>
    <t>BENYOUSSEF ABDELILAH HAMEDOUN MOHAMED EL BOUKILI AICHA</t>
  </si>
  <si>
    <t>MIN-020</t>
  </si>
  <si>
    <t>Matériau composite à base de pérovskite pour application dans le domaine de la réfrigération magnétique</t>
  </si>
  <si>
    <t>EL MAALAM, HAMEDOUN, MOUNKACHI, HABOUTI, ELMOUSSAOUI, BENYOUSSEF</t>
  </si>
  <si>
    <t>MIN-022</t>
  </si>
  <si>
    <t>Matériaux biocomposites renforcés par des bioparticules</t>
  </si>
  <si>
    <t>BOUHFID RACHID QAISS ABOU EL KACEM ESSABIR HAMID</t>
  </si>
  <si>
    <t>MIN-023</t>
  </si>
  <si>
    <t>Matériaux biocomposites renforcés par des particules de marc de café blanchies</t>
  </si>
  <si>
    <t>BOUHFID Rachid QAISS Abou El Kacem ESSABIR Hamid</t>
  </si>
  <si>
    <t>21/09/2016</t>
  </si>
  <si>
    <t>MIN-040</t>
  </si>
  <si>
    <t>Méthode de fabrication de Nanoferrite de Cobalt (CoFe2O4) par un procédé modifié à partir de réactifs nonstandards.</t>
  </si>
  <si>
    <t>MIN-043</t>
  </si>
  <si>
    <t>Nanoferrites, nanoparticules et nanotiges, à base de ND1xMxFe2O4 (N=Co, Ni, Mn, et Sn)</t>
  </si>
  <si>
    <t>Mohamed HAMEDOUN Omar MOUNKACHI Hassan MOUSSAOUI abdelilah BENYOUSSEF</t>
  </si>
  <si>
    <t>MIN-044</t>
  </si>
  <si>
    <t>Nanomatériaux composites et ferrites pour la réfrigération magnétique</t>
  </si>
  <si>
    <t>BENYOUSSEF,HAMEDOUN,MOUNKACHI, ELMOUSSAOUI, ELMAALAM</t>
  </si>
  <si>
    <t>MIN-045</t>
  </si>
  <si>
    <t>Nanoparticules core shell à base de ferrites,oxydes , pirovskites et polymers</t>
  </si>
  <si>
    <t>Mohamed HAMEDOUN</t>
  </si>
  <si>
    <t>30/12/2013</t>
  </si>
  <si>
    <t>MIN-049</t>
  </si>
  <si>
    <t>Nouveau procédé de fabrication de ferrites de nickel à partir de précurseurs à base de matière première Marocaine.</t>
  </si>
  <si>
    <t>BENYOUSSEF, HAMEDOUN, BELAICHE, BRICHE, HOUMMIRI, MOUNKACHI</t>
  </si>
  <si>
    <t>13/09/2012</t>
  </si>
  <si>
    <t>MIN-069</t>
  </si>
  <si>
    <t>Procédé de fabrication de Nanocomposites à base de ferrites, perovskites et oxydes pour application magnétocalorique</t>
  </si>
  <si>
    <t>BENYOUSSEF ABDELILAH MOUNKACHI OMAR EL MOUSSAOUI HASSAN EL MAALAM KHADIJA HAMDOUN MOHAMMED</t>
  </si>
  <si>
    <t>28/03/2014</t>
  </si>
  <si>
    <t>MIN-070</t>
  </si>
  <si>
    <t>Procédé de fabrication de nanoparticules de ferrite de zinc ZnFe2O4 commercialisables à partir de précurseurs non standards</t>
  </si>
  <si>
    <t>mouhib, redouany, belaiche, briche</t>
  </si>
  <si>
    <t>11 PAYEE 28/4/2023</t>
  </si>
  <si>
    <t>MIN-071</t>
  </si>
  <si>
    <t>Procédé de fabrication de nanotiges par des nanoparticules ferrites spinelles monodispersées</t>
  </si>
  <si>
    <t>BENYOUSSEF ABDELILAH; EL MOUSSAOUI HASSAN; HAMEDOUN MOHAMED; MAHHOUTI ZAKARIA; MAHFOUD TARIK</t>
  </si>
  <si>
    <t>15/03/2018</t>
  </si>
  <si>
    <t>MIN-072</t>
  </si>
  <si>
    <t>Procédé de fabrication de nouveaux nanomatériaux ferritesoxydes hybrides à partir de précurseurs à base de matière première Marocaine.</t>
  </si>
  <si>
    <t>Abdelilah BENYOUSSEF Omar MOUNKACHI Hassan EL MOUSSAOUI Mohamed HADEMOUN Mohamed BELAICHE</t>
  </si>
  <si>
    <t>MIN-076</t>
  </si>
  <si>
    <t>Procédé de fabrication des matériaux ferrites spinelles pour application dans le domaine de télécommunication.</t>
  </si>
  <si>
    <t>EL MOUSSAOUI HASSAN; MAHFOUD TARIK; LAMOURI RACHIDA; BENALI MERIEM; TILSAGHANI CHAKIB</t>
  </si>
  <si>
    <t>MIN-085</t>
  </si>
  <si>
    <t>Procédé de synthèse de nouveaux cations hétérocycliques amphiphiles et leurs utilisation dans les argiles et les nanocomposites</t>
  </si>
  <si>
    <t>Mostapha Bousmina El Mokhtar Essassi Rachid Bouhfid Hamid Ennajih</t>
  </si>
  <si>
    <t>19/07/2010</t>
  </si>
  <si>
    <t>Déchu</t>
  </si>
  <si>
    <t>MIN-016</t>
  </si>
  <si>
    <t>Hobelanlage mit einer Räumeinrichtung und Räumplatte</t>
  </si>
  <si>
    <t>DE4015917</t>
  </si>
  <si>
    <t>DE4015917C2; DE4015917A1</t>
  </si>
  <si>
    <t>OFFICE CHERIFIEN DES PHOSPHATES MAARIF</t>
  </si>
  <si>
    <t>GB2231606</t>
  </si>
  <si>
    <t>MIN-017</t>
  </si>
  <si>
    <t>INSTALLATION D'ABATTAGE A RABOT POUR TAILLE DE MINE SOUTERRAINE</t>
  </si>
  <si>
    <t>FR1989006472</t>
  </si>
  <si>
    <t>FR2647155A1; FR2647155B1</t>
  </si>
  <si>
    <t>CHERIFIEN PHOSPHATES OFFICE</t>
  </si>
  <si>
    <t>MIN-042</t>
  </si>
  <si>
    <t>Mining equipment</t>
  </si>
  <si>
    <t>GB1990010974</t>
  </si>
  <si>
    <t>GB2231606B; GB9010974D0; GB2231606A</t>
  </si>
  <si>
    <t>MIN-007</t>
  </si>
  <si>
    <t>Design et synthèse via un procédé de biominéralisation des phosphates métalliques hybrides présentant des propriétés de photoluminescences</t>
  </si>
  <si>
    <t>Abderrahim SOLHY Walid AMER Mohamed ZAHOUILY</t>
  </si>
  <si>
    <t>MIN-010</t>
  </si>
  <si>
    <t>Elimination combinée du Cd et des sulfures des minerais phosphatés par calcination en deux étapes</t>
  </si>
  <si>
    <t>Publication: MA22042A1</t>
  </si>
  <si>
    <t>MIN-012</t>
  </si>
  <si>
    <t>Enrichissement direct du CO2 à partir de l’air via l'adsorption à débit modulé</t>
  </si>
  <si>
    <t>MIN-021</t>
  </si>
  <si>
    <t>MATERIAUX A BASE D'ARGILE ISSUS DE L'ECHANGE CATIONIQUE AVEC LE CUIVRE ET SON UTILISATION COMME CATALYSEUR</t>
  </si>
  <si>
    <t>BOUHFID RACHID QAISS ABOU EL KACEM MEKHZOUM MOHAMMED EL MEHDI ESSASSI ELMOKHTAR</t>
  </si>
  <si>
    <t>MIN-024</t>
  </si>
  <si>
    <t>Matériaux composites à base des biopolymères comme indicateur de fraicheur des produits marins</t>
  </si>
  <si>
    <t>BOUHFID RACHID; QAISS ABOU EL KACEM; Mekhzoum Mohamed El Mehdi; FARDIOUI MERIAM</t>
  </si>
  <si>
    <t>28/03/2019</t>
  </si>
  <si>
    <t>MIN-027</t>
  </si>
  <si>
    <t>Matériaux nanocomposites fluorescents à base d'argile modifiée et applications.</t>
  </si>
  <si>
    <t>BOUHFID RACHID Qaiss Abou el kacem mekhzoum mehdi mohammed El Mokhtar ESSASSI</t>
  </si>
  <si>
    <t>MIN-035</t>
  </si>
  <si>
    <t>Method for producing hydrated zinc hydrogen phosphate</t>
  </si>
  <si>
    <t>CN201980065267.X; EP2019783382; JOP20210046; MX2021002879; PCT/MA2019/000005</t>
  </si>
  <si>
    <t>CN112789243A; EP3849946A1; JOP20210046A1; MX2021002879A; WO2020055222A1</t>
  </si>
  <si>
    <t>Pending; Undetermined; PCT designated stage expired</t>
  </si>
  <si>
    <t>China; EPO; Jordanien; Mexico; WIPO</t>
  </si>
  <si>
    <t>MIN-036</t>
  </si>
  <si>
    <t>Method for producing zinc hydrogen phosphate hydrate</t>
  </si>
  <si>
    <t>IN202117016638</t>
  </si>
  <si>
    <t>IN202117016638A; IN464694B</t>
  </si>
  <si>
    <t>MIN-038</t>
  </si>
  <si>
    <t>Method for the treatment of phosphogypsum</t>
  </si>
  <si>
    <t>ES1973418869; US05/400617</t>
  </si>
  <si>
    <t>ES418869A1; US3951675A</t>
  </si>
  <si>
    <t>Spain; United States</t>
  </si>
  <si>
    <t>CENTRE D'ETUDES ET DE RECHERCHES DES PHOSPHATES MI; CENTRE D'ETUDES ET DE RECHERCHES DES PHOSPHATES MINERAUX CERPHOS</t>
  </si>
  <si>
    <t>MIN-041</t>
  </si>
  <si>
    <t>METHODS OF PRODUCTION OF LOW cadmium AMONIUM PHOSPHATE</t>
  </si>
  <si>
    <t>VN10036492B</t>
  </si>
  <si>
    <t>MIN-053</t>
  </si>
  <si>
    <t>Perfectionnements apportés aux procédés et aux appareils de prélèvement d'échantillons de matières</t>
  </si>
  <si>
    <t>FR1964973320; OA50458</t>
  </si>
  <si>
    <t>FR1426116A; OA1161A</t>
  </si>
  <si>
    <t>France; OAPI</t>
  </si>
  <si>
    <t>OA1161</t>
  </si>
  <si>
    <t>MIN-078</t>
  </si>
  <si>
    <t>Procédé de production de biodiesel à partir des huiles végétales ou animales au moyen de catalyseurs solides phosphatés à structure apatitique sous forme de poudres ou extrudés</t>
  </si>
  <si>
    <t>Mohamed ZAHOUILY Redouane BENHIMA Younes ESSAMLALI</t>
  </si>
  <si>
    <t>17/11/2015</t>
  </si>
  <si>
    <t>MIN-079</t>
  </si>
  <si>
    <t>procédé de production de phosphore noir sans phases secondaires</t>
  </si>
  <si>
    <t>Omar Mounkachi Ghassane Tiouitchi , Mohammed Hamedoun, Abdelilah Benyoussef</t>
  </si>
  <si>
    <t>MIN-086</t>
  </si>
  <si>
    <t>Procédé de synthèse hydrothermique de nanobâtonnets de ZnO dans les conditions atmosphériques</t>
  </si>
  <si>
    <t>SEKKAT, LAHGFOUR, MAHBOUB,</t>
  </si>
  <si>
    <t>MIN-092</t>
  </si>
  <si>
    <t>Procédé de traitement thermique à basse 0° de minerai et concentrés de phosphates riches en matière organique</t>
  </si>
  <si>
    <t>Publication MA25083A1</t>
  </si>
  <si>
    <t>MIN-093</t>
  </si>
  <si>
    <t>Procédé de traitement thermique à haute température de matériaux et minerais contenant des métaux lourds volatils avec récupération,</t>
  </si>
  <si>
    <t>Publication: MA22379A1</t>
  </si>
  <si>
    <t>MIN-095</t>
  </si>
  <si>
    <t>Procédé de transformation de la dolomite en composés à base des phosphates</t>
  </si>
  <si>
    <t>MA66600</t>
  </si>
  <si>
    <t>15/07/2024</t>
  </si>
  <si>
    <t>MIN-098</t>
  </si>
  <si>
    <t>Procédé pour la production du phosphore</t>
  </si>
  <si>
    <t>MA44177</t>
  </si>
  <si>
    <t>UH2C, UH1S</t>
  </si>
  <si>
    <t>Delivered on 30/11/20</t>
  </si>
  <si>
    <t>MIN-099</t>
  </si>
  <si>
    <t>PROCEDIMENTO PER LA DEPURAZIONE DELL'ACIDO FOSFORICO</t>
  </si>
  <si>
    <t>IT1976028123</t>
  </si>
  <si>
    <t>IT1124766B1</t>
  </si>
  <si>
    <t>Italy</t>
  </si>
  <si>
    <t>CERPHOS PHOSPHATES MINERAUX</t>
  </si>
  <si>
    <t>MIN-100</t>
  </si>
  <si>
    <t>PROCEDIMENTO PER LA FABBRICAZIONE DEL GESSO</t>
  </si>
  <si>
    <t>IT1973069724</t>
  </si>
  <si>
    <t>IT999559B</t>
  </si>
  <si>
    <t>CENTRE D ETUDES ET DE RECHERCHES DES PHOSPHATES MINERAUX</t>
  </si>
  <si>
    <t>MIN-114</t>
  </si>
  <si>
    <t>PROCESSO DE FABRICACAO DE GESSO A PARTIR DE FOSFOGIPSITA</t>
  </si>
  <si>
    <t>BR1973007628</t>
  </si>
  <si>
    <t>BR7307628D0</t>
  </si>
  <si>
    <t>CENTRE D'ETUDES E DE RECHERCHES DES PHOSPHATES MINERAUX</t>
  </si>
  <si>
    <t>MIN-115</t>
  </si>
  <si>
    <t>PROCESSO PARA A DEPURACAO DO ACIDO FOSFORICO</t>
  </si>
  <si>
    <t>BRPI7606813</t>
  </si>
  <si>
    <t>BRPI7606813A2</t>
  </si>
  <si>
    <t>CERPHOS CENTRE ET RECH PHOSPHATES MINERAUX</t>
  </si>
  <si>
    <t>MIN-116</t>
  </si>
  <si>
    <t>PROCESSO PARA O ENRIQUECIMENTO POR FLOTACAO DE MINERIOS DE FOSFATOS DE GANGA CONTENDO CARBONATOS</t>
  </si>
  <si>
    <t>BR1974009039</t>
  </si>
  <si>
    <t>BR7409039D0</t>
  </si>
  <si>
    <t>MIN-118</t>
  </si>
  <si>
    <t>Retardateur de flamme à base de poudre de phosphate naturel pour usage dans le textile</t>
  </si>
  <si>
    <t>MA47856</t>
  </si>
  <si>
    <t>Delivered on 30/09/21</t>
  </si>
  <si>
    <t>MIN-120</t>
  </si>
  <si>
    <t>SECHAGE ET CALCINATION DE MINERAI DE PHOSPHATE A BILAN CARBONE NEGATIF</t>
  </si>
  <si>
    <t>MA70670</t>
  </si>
  <si>
    <t>MIN-121</t>
  </si>
  <si>
    <t>SEPARATION SOLIDE - LIQUIDE PAR CONVOYEUR INCLINE A BANDE</t>
  </si>
  <si>
    <t>22028; OA60021</t>
  </si>
  <si>
    <t>OA9367A</t>
  </si>
  <si>
    <t>Expired; Inactive</t>
  </si>
  <si>
    <t>MAROC; OAPI</t>
  </si>
  <si>
    <t>OFFICE CHERIFIEN DES PHOSPHATES (MAROC)</t>
  </si>
  <si>
    <t>CERPHOS patents; OA9367</t>
  </si>
  <si>
    <t>Publication: MA21765A1</t>
  </si>
  <si>
    <t>MIN-122</t>
  </si>
  <si>
    <t>Synthèse de matériaux pour la décoloration et la dégradation des polluants organiques dans l'eau: graphéne seul et graphéne nanocomposite (graphène/dioxyde de titane)</t>
  </si>
  <si>
    <t>Abderrahim SOLHY Rachid AIT BELALE Mohamed ZAHOUILY</t>
  </si>
  <si>
    <t>MIN-123</t>
  </si>
  <si>
    <t>Synthèse et propriétés physiques des Nanoparticules de férrites Sn1xMexFe2O4 (Me = Co, Ni, Mn).</t>
  </si>
  <si>
    <t>Mohamed HAMEDOUN Omar MOUNKACHI Abdelillah BENYOUSSEF Hassan EL MOUSSAOUI Mohamed BELAICHE</t>
  </si>
  <si>
    <t>MIN-124</t>
  </si>
  <si>
    <t>CH1973013132</t>
  </si>
  <si>
    <t>CH590795A5</t>
  </si>
  <si>
    <t>Switzerland</t>
  </si>
  <si>
    <t>RECH DES PHOSPHATES MINERAUX C</t>
  </si>
  <si>
    <t>MIN-125</t>
  </si>
  <si>
    <t>MIN-129</t>
  </si>
  <si>
    <t>VERFAHREN ZUR HERSTELLUNG EINES AMMONIUMPHOSPHATDÜNGEMITTELS MIT NIEDRIGEM CADMIUMGEHALT</t>
  </si>
  <si>
    <t>AT2016822283T; DE602016054543</t>
  </si>
  <si>
    <t>AT1372111T; DE602016054543T2</t>
  </si>
  <si>
    <t>MIN-130</t>
  </si>
  <si>
    <t>Verfahren zur Reinigung einer Naßphosphorsäure</t>
  </si>
  <si>
    <t>DE2645777</t>
  </si>
  <si>
    <t>DE2645777A1; DE2645777C2</t>
  </si>
  <si>
    <t>MIN-131</t>
  </si>
  <si>
    <t>Verfahren zur Reinigung von Abfallgipsen</t>
  </si>
  <si>
    <t>DE2349519</t>
  </si>
  <si>
    <t>DE2349519C2; DE2349519A1</t>
  </si>
  <si>
    <t>MIN-133</t>
  </si>
  <si>
    <t>WERKWIJZE VOOR HET ZUIVEREN VAN FOSFORZUUR.</t>
  </si>
  <si>
    <t>NL7611386</t>
  </si>
  <si>
    <t>NL183641B; NL7611386A; NL183641C</t>
  </si>
  <si>
    <t>Netherlands</t>
  </si>
  <si>
    <t>MIN-134</t>
  </si>
  <si>
    <t>WERKWIJZE VOOR HET ZUIVEREN VAN GIPS.</t>
  </si>
  <si>
    <t>FR1972034872; NL7313481</t>
  </si>
  <si>
    <t>FR2201682A5; NL7313481A; NL179898C; NL179898B</t>
  </si>
  <si>
    <t>France; Netherlands</t>
  </si>
  <si>
    <t>CERPHOS,FR; OFFICE CHERIFIEN DES PHOSPHATES</t>
  </si>
  <si>
    <t>Circular Chemistry &amp; Waste Valorization</t>
  </si>
  <si>
    <t>CCW-010</t>
  </si>
  <si>
    <t>Installation chimique de production d'acide phosphorique munie d'un systeme d'evacuation de phosphogypse</t>
  </si>
  <si>
    <t>MA48605; OA1201900213</t>
  </si>
  <si>
    <t>MA48605B1; OA20110A</t>
  </si>
  <si>
    <t>Morocco; OAPI</t>
  </si>
  <si>
    <t>CCW-020</t>
  </si>
  <si>
    <t>PHOSPHOGYPSE EN TANT QUE MATERIAU UTILISE POUR LE STOCKAGE D’ENERGIE THERMIQUE</t>
  </si>
  <si>
    <t>LIMSET</t>
  </si>
  <si>
    <t>MA56957</t>
  </si>
  <si>
    <t>CCW-023</t>
  </si>
  <si>
    <t>Procédé d'extraction de l'acide sulfurique et de production de produits à haute valeur ajoutée à partir du phosphogypse</t>
  </si>
  <si>
    <t>MA64638</t>
  </si>
  <si>
    <t>CCW-025</t>
  </si>
  <si>
    <t>Procédé d'obtention de sulfate d'ammonium et d'oxalate de calcium à partir de phosphogypse</t>
  </si>
  <si>
    <t>BOUHFID RACHID TAMRAOUI YOUSSEF EL ACHABY MOUNIR Abou El Kacem QAISS ALAMI HAMDANE YOUNES RAJI MARYA</t>
  </si>
  <si>
    <t>51851; MA51851</t>
  </si>
  <si>
    <t>23/11/2020</t>
  </si>
  <si>
    <t>4 PAYEE LE 21/12/2023; PCT</t>
  </si>
  <si>
    <t>MASCIR + UM6P (s'occupe de la proc); MSN</t>
  </si>
  <si>
    <t>Portefeuille brevets Mascir; UM6P Patents filed by TTO</t>
  </si>
  <si>
    <t>Delivered on 31/08/22</t>
  </si>
  <si>
    <t>CCW-027</t>
  </si>
  <si>
    <t>Procédé de Conversion Thermique du Phosphogypse en Sels Organiques de Calcium et Sulfates alcalins</t>
  </si>
  <si>
    <t>29/09/2025</t>
  </si>
  <si>
    <t>CCW-031</t>
  </si>
  <si>
    <t>PROCEDE DE FABRICATION DE SULFATE DE SODIUM A PARTIR DE PHOSPHOGYPSE</t>
  </si>
  <si>
    <t>FR2016057235; MA44892</t>
  </si>
  <si>
    <t>FR3054542A1; FR3054542B1; MA44892A1; MA44892B1; TN2019000023A1</t>
  </si>
  <si>
    <t>France; Morocco; Tunisia</t>
  </si>
  <si>
    <t>CCW-034</t>
  </si>
  <si>
    <t>PROCEDE DE PURIFICATION ET DE CONCENTRATION DES TERRES RARES A PARTIR DU PHOSPHOGYPSE</t>
  </si>
  <si>
    <t>FR2018058946</t>
  </si>
  <si>
    <t>FR3086672A1; FR3086672B1</t>
  </si>
  <si>
    <t>CCW-038</t>
  </si>
  <si>
    <t>Procédé de transformation du phosphogypse pour la production d’hydroxyde de calcium, d’oxyde de calcium et de sels de sulfate</t>
  </si>
  <si>
    <t>CCW-046</t>
  </si>
  <si>
    <t>Procédé intégré de production de sulfate d'ammonium par valorisation des déchets de phosphogypse</t>
  </si>
  <si>
    <t>MA65759</t>
  </si>
  <si>
    <t>16/05/2024</t>
  </si>
  <si>
    <t>CCW-047</t>
  </si>
  <si>
    <t>PROCEDE INTEGRE DE PURIFICATION DU PHOSPHOGYPSE</t>
  </si>
  <si>
    <t>ISTI</t>
  </si>
  <si>
    <t>26/12/2025</t>
  </si>
  <si>
    <t>CCW-048</t>
  </si>
  <si>
    <t>Procédé pour l'extraction des éléments de terres rares contenus dans du phosphogypse</t>
  </si>
  <si>
    <t>CCW-049</t>
  </si>
  <si>
    <t>Procédé pour la production du soufre à partir du phosphogypse</t>
  </si>
  <si>
    <t>MA44296</t>
  </si>
  <si>
    <t>18/12/2018</t>
  </si>
  <si>
    <t>CCW-054</t>
  </si>
  <si>
    <t>Synthèse et caractérisation de l'ettringite dérivée du phosphogypse</t>
  </si>
  <si>
    <t>MA67576</t>
  </si>
  <si>
    <t>RR négatif, manque d'unité demande divisionnaire</t>
  </si>
  <si>
    <t>CCW-055</t>
  </si>
  <si>
    <t>Synthèse et caractérisation de l'ettringite dérivée du phosphogypse (Demande divisionnaire 67576)</t>
  </si>
  <si>
    <t>CCW-056</t>
  </si>
  <si>
    <t>SYSTEME D'EVACUATION DE PHOSPHOGYPSE</t>
  </si>
  <si>
    <t>FR2016062091</t>
  </si>
  <si>
    <t>FR3059574A1</t>
  </si>
  <si>
    <t>CCW-062</t>
  </si>
  <si>
    <t>Utilisation des sousproduits issus de la transformation des phosphates en acide phosphorique (phosphogypse) comme renfort dans des matériaux composites</t>
  </si>
  <si>
    <t>BOUHFID RACHID ESSASSI EL MOKHTAR QAISS ABOU EL KACEM EL KADIB ABDELKRIM</t>
  </si>
  <si>
    <t>CCW-035</t>
  </si>
  <si>
    <t>Procédé de Récupération de Fe et Li à partir de Matériaux Non Conformes FePO₄ et LiFePO₄ et Valorisation pour la Production de LiFePO₄</t>
  </si>
  <si>
    <t>CCW-008</t>
  </si>
  <si>
    <t>Élaboration de Géopolymères Acides et d’Éco-Matériaux à partir de Boues de Décantation d'Acide Phosphorique</t>
  </si>
  <si>
    <t>MA71135</t>
  </si>
  <si>
    <t>19/03/2025</t>
  </si>
  <si>
    <t>GBS SARL</t>
  </si>
  <si>
    <t>CCW-051</t>
  </si>
  <si>
    <t>Production de ciment à faible teneur en carbone utilisant des sous produits de l'industrie de phosphate</t>
  </si>
  <si>
    <t>MA65558</t>
  </si>
  <si>
    <t>CCW-059</t>
  </si>
  <si>
    <t>Utilisation d'acide hexafluorosilicique comme catalyseur de géopolymerisation dans la production de géopolymères acides</t>
  </si>
  <si>
    <t>MA63527</t>
  </si>
  <si>
    <t>20/12/2023</t>
  </si>
  <si>
    <t>Negative RR</t>
  </si>
  <si>
    <t>CCW-060</t>
  </si>
  <si>
    <t>Utilisation de déchets solides phosphatés dans la Production de Matériaux hétérofonctionnels poreux</t>
  </si>
  <si>
    <t>MA59110</t>
  </si>
  <si>
    <t>CCW-003</t>
  </si>
  <si>
    <t>bio nancomposite à base de biopolymère et de cellulose nanocristalline</t>
  </si>
  <si>
    <t>ABOU EL KACEM QAISS; BOUHFID RACHID</t>
  </si>
  <si>
    <t>CCW-007</t>
  </si>
  <si>
    <t>Élaboration de bionanocomposites hybrides à base d’argile modifiée et de cellulose nanocristalline</t>
  </si>
  <si>
    <t>mekhzoum, Fardioui, Qaiss, Bouhfid</t>
  </si>
  <si>
    <t>CCW-014</t>
  </si>
  <si>
    <t>Matériaux composites à base de biocharges</t>
  </si>
  <si>
    <t>ESSABIR, QAISS, BOUHFID</t>
  </si>
  <si>
    <t>CCW-017</t>
  </si>
  <si>
    <t>Nouveau matériau composite à matrice thermoplastique renforcée par les fibres de Henna</t>
  </si>
  <si>
    <t>BOUHFID RACHID</t>
  </si>
  <si>
    <t>CCW-028</t>
  </si>
  <si>
    <t>Procédé de fabrication de pâte à papier à partir de déchets de palmier dattier</t>
  </si>
  <si>
    <t>RAJI MARYA; BOUHFID RACHID; QAISS ABOU EL KACEM</t>
  </si>
  <si>
    <t>ANDZOA + MAScIR</t>
  </si>
  <si>
    <t>CCW-061</t>
  </si>
  <si>
    <t>Utilisation de la fibre de LUFFA sous forme de fibre courte comme renfort dans les matrices thermoplastiques.</t>
  </si>
  <si>
    <t>BOUHFID RACHID QUAISS ABOU EL KACEM</t>
  </si>
  <si>
    <t>25/04/2013</t>
  </si>
  <si>
    <t>CCW-001</t>
  </si>
  <si>
    <t>Additif pour la dégradation controlée des sacs en plastiques.</t>
  </si>
  <si>
    <t>MA36966</t>
  </si>
  <si>
    <t>12 PAYEE LE 5/11/2025</t>
  </si>
  <si>
    <t>CCW-006</t>
  </si>
  <si>
    <t>Composites thermoplastiques incorporant des déchets miniers issus de l'exploitation des phosphates</t>
  </si>
  <si>
    <t>MA59281</t>
  </si>
  <si>
    <t>18/01/2023</t>
  </si>
  <si>
    <t>Negative RR, Claims changed</t>
  </si>
  <si>
    <t>CCW-012</t>
  </si>
  <si>
    <t>Matériau nanocomposite conducteur électrique à base de plastique</t>
  </si>
  <si>
    <t>qaiss abou el kacem bouhfid rachid</t>
  </si>
  <si>
    <t>17/09/2014</t>
  </si>
  <si>
    <t>CCW-013</t>
  </si>
  <si>
    <t>Matériau pour le revêtement du sol à partir des pneus recyclés.</t>
  </si>
  <si>
    <t>QAISS, BOHFID,</t>
  </si>
  <si>
    <t>CCW-015</t>
  </si>
  <si>
    <t>Matériaux composites renforcés par des particules de noir de carbone issue de pneus usagés</t>
  </si>
  <si>
    <t>AIT-DAHI MEHDI; RAJI MARYA; ESSABIR HAMID; BOUHFID RACHID; QAISS ABOU EL KACEM</t>
  </si>
  <si>
    <t>CCW-018</t>
  </si>
  <si>
    <t>Nouvelle formulation d'additif oxobiodégradable</t>
  </si>
  <si>
    <t>QAISS, BOUHFID, BENMOUSSAN, RAKHISSE</t>
  </si>
  <si>
    <t>CCW-019</t>
  </si>
  <si>
    <t>PAPIER D’EMBALLLAGE HYDROPHOBE A BASE DE DERIVES LIGNOCELLULOSIQUES ET DE SOUS_x0002_PRODUITS MINIERS OU PHOSPHATES</t>
  </si>
  <si>
    <t>30/04/2025</t>
  </si>
  <si>
    <t>CCW-052</t>
  </si>
  <si>
    <t>PURIFICATION DE BOUES DE PHOSPHATES ET SON APPLICATION DANS LA FABRICATION D’EMBALLAGES À BASE DE CELLULOSE</t>
  </si>
  <si>
    <t>MA57564</t>
  </si>
  <si>
    <t>Delivered on 31/05/24</t>
  </si>
  <si>
    <t>CCW-057</t>
  </si>
  <si>
    <t>Système d’évaluation de la conformité des pneus lors de la visite technique</t>
  </si>
  <si>
    <t>Othmane NAGGAR Hicham ISLAH Francois BOURZEIX</t>
  </si>
  <si>
    <t>7 PAYEE LE 4/11/2022</t>
  </si>
  <si>
    <t>CCW-058</t>
  </si>
  <si>
    <t>Système d'évaluation de la profondeur des rainures des pneus grâce à un pistolet stéréoscopique.</t>
  </si>
  <si>
    <t>BOURZEIX FRANCOIS; ISLAH HICHAM; EL BOUZIADY ABDERRAHIM</t>
  </si>
  <si>
    <t>17/11/2017</t>
  </si>
  <si>
    <t>CCW-004</t>
  </si>
  <si>
    <t>Charbon actif magnétique et photocatalytique pour la dépollution des eaux usées et son procédé de fabrication</t>
  </si>
  <si>
    <t>BRICHE Samir; El Mountassir EL MOUCHTARI; Salah RAFQAH; Anne PIRAM; Pascal WONG WAH CHUNG</t>
  </si>
  <si>
    <t>21/12/2022</t>
  </si>
  <si>
    <t>MAScIR + Université Cadi Ayyad (UCA) + Aix-Marseille Université (AMU)</t>
  </si>
  <si>
    <t>CCW-053</t>
  </si>
  <si>
    <t>Pyrolysis of pre-treated cellulosic biomass derivatives for hard carbon material</t>
  </si>
  <si>
    <t>MA59656</t>
  </si>
  <si>
    <t>CCW-005</t>
  </si>
  <si>
    <t>Collecteur biosource à base d'huile de graines de cannabis pour une flotatation sélective de minerais porteurs de calcium</t>
  </si>
  <si>
    <t>30/09/2025</t>
  </si>
  <si>
    <t>CCW-002</t>
  </si>
  <si>
    <t>ATTAQUE DES PHOSPHATES PAR L'ACIDE FLUOSILICIQUE</t>
  </si>
  <si>
    <t>Publication: MA30371B1</t>
  </si>
  <si>
    <t>CCW-011</t>
  </si>
  <si>
    <t>LIGNINE–ZIF8 COMME ADHESIF BIOSOURCE POUR UN COLLAGE RENFORCE ET PLUS SAIN</t>
  </si>
  <si>
    <t>CCW-016</t>
  </si>
  <si>
    <t>Méthode enzymatique pour extraire les amandes des fruits secs à partir d’une coque lignocellulosique</t>
  </si>
  <si>
    <t>BENHIMA REDOUANE IMANE WAHBY SIJILMASSI BADREDDINE</t>
  </si>
  <si>
    <t>CCW-022</t>
  </si>
  <si>
    <t>Procédé d’enrichissement par flottation de minerai de phosphate à gangue carbonatée et/ou silice-carbonatée</t>
  </si>
  <si>
    <t>Publication/ MA24374A1</t>
  </si>
  <si>
    <t>CCW-026</t>
  </si>
  <si>
    <t>PROCEDE DE CARBONISATION CATALYTIQUE DE MATIERES PREMIERES BIOSOURCEES</t>
  </si>
  <si>
    <t>19/01/2026</t>
  </si>
  <si>
    <t>CCW-029</t>
  </si>
  <si>
    <t>PROCEDE DE FABRICATION DE SPHERES A BASE DE CELLULOSE</t>
  </si>
  <si>
    <t>ABOU EL KACEM Qaiss; EL ALLAOUI Brahim; CHAKHTOUNA Hanane; BENZEID Hanane; ZARI Nadia; BOUHFID Rachid</t>
  </si>
  <si>
    <t>CCW-044</t>
  </si>
  <si>
    <t>Procédé de valorisation du fluor produit lors de la production d’acide phosphorique par voie humide par la coproduction d’acide phosphorique de la fluorine et de la silice amorphe.</t>
  </si>
  <si>
    <t>Publication: MA30370B1</t>
  </si>
  <si>
    <t>CCW-045</t>
  </si>
  <si>
    <t>Procédé écologique de recyclage de déchets industriels renfermant du soufre</t>
  </si>
  <si>
    <t>Publication: MA25123A1</t>
  </si>
  <si>
    <t>CCW-050</t>
  </si>
  <si>
    <t>Procédé thermique de production de bio-methanol à partir des déchets humides</t>
  </si>
  <si>
    <t>21/10/2024</t>
  </si>
  <si>
    <t>RR received (X &amp; Y)</t>
  </si>
  <si>
    <t>GAB-001</t>
  </si>
  <si>
    <t>Green Agriculture &amp; Biotechnology</t>
  </si>
  <si>
    <t>Agent biostimulant obtenu par pyrolyse d'extraits d'algues rouges</t>
  </si>
  <si>
    <t>MA65555</t>
  </si>
  <si>
    <t>GAB-015</t>
  </si>
  <si>
    <t>Formule à base de macroalgues et microalgues pour l’accélération de la germination des graines</t>
  </si>
  <si>
    <t>El Arroussi, Meftah Kadmiri, Elbaouchi, Wahby</t>
  </si>
  <si>
    <t>24/04/2015</t>
  </si>
  <si>
    <t>GAB-029</t>
  </si>
  <si>
    <t>Nouveau biofertilisant à libération progressive et sa méthode de production</t>
  </si>
  <si>
    <t>ISSAM, NAJIB, WAHBY, BOUHFID, QAISS, AIT DAHI</t>
  </si>
  <si>
    <t>27/04/2016</t>
  </si>
  <si>
    <t>GAB-040</t>
  </si>
  <si>
    <t>PRODUIT A BASE D’EXTRAIT D’ALGUE POUR LE CONTRÔLE DE LA GERMINATION DES SEMENCES</t>
  </si>
  <si>
    <t>ISSAM, MZIBRA, AASFAR</t>
  </si>
  <si>
    <t>15/11/2019</t>
  </si>
  <si>
    <t>4 PAYEE LE 28/4/2023</t>
  </si>
  <si>
    <t>GAB-043</t>
  </si>
  <si>
    <t>Produit booster de germination et d’enracinement dans des sols fortement salinisés à base de macroalgues et de microalgues</t>
  </si>
  <si>
    <t>30/04/2015</t>
  </si>
  <si>
    <t>GAB-047</t>
  </si>
  <si>
    <t>Souche bactérienne pour le contrôle de la cochenille du cactus Dactylopius opuntiae et méthode de réalisation du traitement</t>
  </si>
  <si>
    <t>MEFTAH KADMIRI Issam; Abderrahim AASFAR; Karim EL-FAKHOURI; Chaimae RAMDANI; Rachid BOULAMTAT</t>
  </si>
  <si>
    <t>GAB-007</t>
  </si>
  <si>
    <t>COMPOSITION D’ENROBAGE ANTIPOUSSIERE POUR ENGRAIS SOLIDE</t>
  </si>
  <si>
    <t>MA71206</t>
  </si>
  <si>
    <t>GAB-011</t>
  </si>
  <si>
    <t>Extrait d'algue comme materiau d'enrobage biodegaradable pour la libération lente des engrais et methode de production et d'application</t>
  </si>
  <si>
    <t>Youssef Farrie; Mehdi Khouloud; Rachid Boulif; Issam Meftah Kadmiri; Abderrahim Aasfar; Mohamed El Mehdi Mekhzoum; Rachid Bouhfid; Qaiss Abou El Kacem; Abir Mzibra; Najib El Mernissi</t>
  </si>
  <si>
    <t>17/12/2021</t>
  </si>
  <si>
    <t>3 PAYEE 21/12/2023</t>
  </si>
  <si>
    <t>OCP + MAScIR</t>
  </si>
  <si>
    <t>GAB-012</t>
  </si>
  <si>
    <t>Fertilisant à base de microcapsule de polysaccharide phosphorylé enrichi en potassium</t>
  </si>
  <si>
    <t>RAJI Marya; Mohamed El Mehdi Mekhzoum; Abou El Kacem Qaiss; Rachid Bouhfid</t>
  </si>
  <si>
    <t>13/10/2022</t>
  </si>
  <si>
    <t>GAB-013</t>
  </si>
  <si>
    <t>Fertilisant à libération lente à base de l’uréehydroxyapatite</t>
  </si>
  <si>
    <t>ESSAMLALI YOUNES El Idrissi El Hassania Chiraa AMADINE OTHMANE ZAHOUILY MOHAMED</t>
  </si>
  <si>
    <t>GAB-031</t>
  </si>
  <si>
    <t>Nouvel engrais hybride de type organo- minéral</t>
  </si>
  <si>
    <t>MA62196</t>
  </si>
  <si>
    <t>GAB-037</t>
  </si>
  <si>
    <t>PROCEDE DE FABRICATION D'UN ENGRAIS A BASE DE PHOSPHATE D'AMMONIUM PRESENTANT UNE TENEUR REDUITE EN CADMIUM</t>
  </si>
  <si>
    <t>FR2015057483; OA1201800044</t>
  </si>
  <si>
    <t>FR3039830A1; FR3039830B1; OA18591A</t>
  </si>
  <si>
    <t>GAB-002</t>
  </si>
  <si>
    <t>Amorces et sondes pour l’amplification, la détection et/ou la quantification du génome du virus de l’hépatite C.</t>
  </si>
  <si>
    <t>MOUMEN, QMICHOU, EL HADI, ABDELLAOUI, AIT BENHASSOU, SEFRIOUI</t>
  </si>
  <si>
    <t>GAB-004</t>
  </si>
  <si>
    <t>Composés à base de micoalgues à effet anticancereux</t>
  </si>
  <si>
    <t>GAB-008</t>
  </si>
  <si>
    <t>Dispositif de détection prévisionnelle de la présence d'un virus de la famille sars cov 2 dans un échantillon de patient</t>
  </si>
  <si>
    <t>RABIE REDA; ITQIQ SALAHEDDINE; SAIDI OUADI; LAKSSIR BRAHIM</t>
  </si>
  <si>
    <t>3 PAYEE LE 28/4/2023</t>
  </si>
  <si>
    <t>GAB-017</t>
  </si>
  <si>
    <t>KIT DE DIAGNOSTIC DE LA LEUCEMIE MYELOIDE CHRONIQUE EN REACTION MULTIPLEX ET SES APPLICATIONS DANS LE SUIVI DU TRATEMENT ET DE LA MALADIE RESIDUELLE</t>
  </si>
  <si>
    <t>ABDELADIM MOUMEN; EL HASSANE SEFRIOUI; MANALE ELAMRANI; HICHEM ELHADI; NADIA BOUCHOUTROUCH</t>
  </si>
  <si>
    <t>GAB-018</t>
  </si>
  <si>
    <t>KIT de diagnostic de la tuberculose</t>
  </si>
  <si>
    <t>GAB-019</t>
  </si>
  <si>
    <t>KIT DE DIAGNOSTIC DU CANCER DE LA PROSTATE</t>
  </si>
  <si>
    <t>MOUMEN, MAANE, EL HADI, SEFRIOUI, QMICHOU</t>
  </si>
  <si>
    <t>GAB-020</t>
  </si>
  <si>
    <t>Kit de diagnostic du cancer de sein en réaction qPCR multiplex et son application dans l’évaluation du statut de la protéine HER2 et le choix du traitement</t>
  </si>
  <si>
    <t>sefrioui, Moumen, EL AMRANI, abdellaoui</t>
  </si>
  <si>
    <t>GAB-021</t>
  </si>
  <si>
    <t>Kit de diagnostic moléculaire de la tuberculose et détection des souches résistantes aux antibiotiques (MDR)</t>
  </si>
  <si>
    <t>30/12/2015</t>
  </si>
  <si>
    <t>GAB-022</t>
  </si>
  <si>
    <t>Kit moléculaire de détection de Salmonella spp</t>
  </si>
  <si>
    <t>MOUMEN ABDELADIM; ABDELLAOUI MAANE IMANE</t>
  </si>
  <si>
    <t>29/12/2021</t>
  </si>
  <si>
    <t>GAB-023</t>
  </si>
  <si>
    <t>Kit pour l’amplification, la détection et/ou la quantification de la charge virale du virus de l’hépatite C</t>
  </si>
  <si>
    <t>Abdeladim Moumen Hassan Aitbenhassou Hicham Elhadi</t>
  </si>
  <si>
    <t>GAB-024</t>
  </si>
  <si>
    <t>Kit pour le diagnostic moléculaire de la charge virale du virus de l'hépatite B.</t>
  </si>
  <si>
    <t>MOUMEN ABDELADIM EL HADI HICHAM</t>
  </si>
  <si>
    <t>GAB-026</t>
  </si>
  <si>
    <t>Méthode pour la détermination du seuil de positivité de la surexpression de la protéine HER2 dans le cancer de sein et d’autres cancers.</t>
  </si>
  <si>
    <t>AIT BENHASSOU HASSAN; MOUMEN ABDELADIM; EL HADI HICHAM</t>
  </si>
  <si>
    <t>GAB-028</t>
  </si>
  <si>
    <t>Molécules dérivées de thiazolylbenzimidazole contenant des triazoles et leurs utilisations pour le traitement du cancer</t>
  </si>
  <si>
    <t>BOUHFID RACHID; QAISS ABOU EL KACEM; MERGHOUB NAWAL; EL BOURKADI KHADIJA</t>
  </si>
  <si>
    <t>GAB-044</t>
  </si>
  <si>
    <t>Sondes et amorces pour détecter le gène HER2 en format multiplexe et ses applications dans le choix de traitement du cancer de sein HER2</t>
  </si>
  <si>
    <t>Manale El amrani Nadia Bouchoutrouch El hassane Sefrioui Denise Kottwitz Abdeladim Moumen</t>
  </si>
  <si>
    <t>GAB-045</t>
  </si>
  <si>
    <t>Sondes et amorces pour la détection du gène BCR-ABL en réaction duplex.</t>
  </si>
  <si>
    <t>Denise KOTTWITZ El Hassan, SEFRIOUI Manale EL AMRANI</t>
  </si>
  <si>
    <t>GAB-046</t>
  </si>
  <si>
    <t>Sondes et amorces pour la quantification rapide et fiable des gènes spécifiques au cancer de la prostate en utilisant des gènes contrôles adéquats</t>
  </si>
  <si>
    <t>abdellaoui , Moumen, Sefrioui</t>
  </si>
  <si>
    <t>GAB-050</t>
  </si>
  <si>
    <t>Système électronique basé sur la méthode LAMP pour le diagnostic des maladies infectieuses</t>
  </si>
  <si>
    <t>LAKSSIR, RESSAMI, BOUZEKRI, SEFRIOUI, AIT BENHASSOU</t>
  </si>
  <si>
    <t>19/01/2015</t>
  </si>
  <si>
    <t>GAB-054</t>
  </si>
  <si>
    <t>Test moléculaire pour la détection rapide et fiable du complexe tuberculosis (MTBC)</t>
  </si>
  <si>
    <t>GAB-005</t>
  </si>
  <si>
    <t>Composition à base des microalgues pour stimuler la croissance et la défense des plantes</t>
  </si>
  <si>
    <t>ELARROUSSI Hicham ELMERNISSI Najib BENHIMA Redouane kadmiri Isam Meftah BENNIS Iman SIJILMASSI Badreddine WAHBY Imane</t>
  </si>
  <si>
    <t>GAB-014</t>
  </si>
  <si>
    <t>Formule à base d’extraits des microalgues pour induire la tolérance des plantes au stress salin</t>
  </si>
  <si>
    <t>El Arroussi, Sijilmassi, Benhima, Meftah Kadmiri, Elbaouchi, Wahby</t>
  </si>
  <si>
    <t>GAB-027</t>
  </si>
  <si>
    <t>METHODES ET COMPOSITIONS POUR L'AMELIORATION BIOTECHNOLOGIQUE DE LA BIOMASSE ET DES LIPIDES DES MICROALGUES POUR LA PRODUCTION DE BIOCARBURANT</t>
  </si>
  <si>
    <t>wahby, laarousssi, bennis, benhima, Najib</t>
  </si>
  <si>
    <t>GAB-032</t>
  </si>
  <si>
    <t>Nouvelle souche thermophile et son application dans l'accéleration du compostage de déchets organiques pour la production d'un amendement</t>
  </si>
  <si>
    <t>Issam Meftah Kadmiri; Kaoutar Yaakoubi; Chaimae Chergaoui, Imane Wahby</t>
  </si>
  <si>
    <t>GAB-039</t>
  </si>
  <si>
    <t>PROCÉDÉ POUR AUGMENTER LE POTENTIEL DE PRODUCTION DE BIOCARBURANT À PARTIR DE MICROALGUES EN UTILISANT DES BIO-MODULATEURS</t>
  </si>
  <si>
    <t>Iman BENNIS Redouane BENHIMA Imane WAHBY Hicham EL ARROUSSI</t>
  </si>
  <si>
    <t>GAB-042</t>
  </si>
  <si>
    <t>Produit à base de microalgues pour la stimulation de la tolérance des plantes au stress des métaux lourds</t>
  </si>
  <si>
    <t>EL ARROUSSI HICHAM; FAL SOUFIANE</t>
  </si>
  <si>
    <t>GAB-055</t>
  </si>
  <si>
    <t>UTILISATION DE COMPOSITION A BASE D'EXTRAIT DE MICROALGUES MARINES POUR LE TRAITEMENT DE L'ACNE.</t>
  </si>
  <si>
    <t>MERGHOUB Nawal</t>
  </si>
  <si>
    <t>GAB-006</t>
  </si>
  <si>
    <t>Composition bioactive à partir d'extraits de plante d'alfa à effet antitumoral et antioxydant</t>
  </si>
  <si>
    <t>MA53187</t>
  </si>
  <si>
    <t>Delivered on 31/03/23</t>
  </si>
  <si>
    <t>GAB-009</t>
  </si>
  <si>
    <t>Dispositif de détoxification des méteaux lourds en hydroponie assisté par protozoaires pour la production de plantes à applications médicales et cosmétiques</t>
  </si>
  <si>
    <t>MA66599</t>
  </si>
  <si>
    <t>GAB-035</t>
  </si>
  <si>
    <t>PROCÉDÉ DE COAGULATION ENZYMATIQUE ET PRESSAGE ACCELERÉ POUR LA FABRICATION DE PRODUITS LAITIERS 100 % LAIT DE CHAMELLE</t>
  </si>
  <si>
    <t>18/06/2025</t>
  </si>
  <si>
    <t>GAB-003</t>
  </si>
  <si>
    <t>Biofilm à base de biopolymère modifié et propriétés antibactériennes et fluorescentes</t>
  </si>
  <si>
    <t>Meriem Fardioui Mohamed El Mehdi Mekhzoum Issam Meftah Kadmiri, Rachid Bouhfid Abou El Kacem Qaiss</t>
  </si>
  <si>
    <t>GAB-025</t>
  </si>
  <si>
    <t>Méthode de génération automatique des fichiers schématiques, fichiers d’empreintes et modèles 3D des composants électronique</t>
  </si>
  <si>
    <t>ISLAH, NAGGAR</t>
  </si>
  <si>
    <t>GAB-030</t>
  </si>
  <si>
    <t>NOUVEL AGENT PROTECTEUR POUR LA FORMULATION DES BACTERIES PAR PROCEDE D'ATOMISATION</t>
  </si>
  <si>
    <t>EL MERNISSI NAJIB; AZAROUAL SALAH EDDINE; MEFTAH KADMIRI ISSAM</t>
  </si>
  <si>
    <t>GAB-036</t>
  </si>
  <si>
    <t>Procédé de croissance des Nanobatonnets de ZnO sur une couche d'ensemencement préparée à l'aide d'une technique de Solgel par enduction centrifuge</t>
  </si>
  <si>
    <t>MAHBOUB Oussama</t>
  </si>
  <si>
    <t>GAB-038</t>
  </si>
  <si>
    <t>PROCEDE ET DISPOSITIF D'EXTRACTION DES PRINCIPES ACTIFS DES PLANTES</t>
  </si>
  <si>
    <t>MA61237</t>
  </si>
  <si>
    <t>19/06/2023</t>
  </si>
  <si>
    <t>GAB-041</t>
  </si>
  <si>
    <t>PRODUIT A BASE D'EXTRAITS D'ALGUES POUR LA RETENTION DE L'EAU ET LA STIMULATION DU DÉVELOPPEMENT RACINAIRE DES PLANTES</t>
  </si>
  <si>
    <t>Hicham Elarroussi, Issam Kadmiri, Mzibra Abir</t>
  </si>
  <si>
    <t>GAB-048</t>
  </si>
  <si>
    <t>Système de détection d’assoupissement d’un conducteur à base du taux d’oxygène dans le sang (SpO2)</t>
  </si>
  <si>
    <t>ANDRONIC, KLILOU, ZENNAYI</t>
  </si>
  <si>
    <t>16/11/2015</t>
  </si>
  <si>
    <t>GAB-049</t>
  </si>
  <si>
    <t>Système de Génération Évolutionnaire d'Hypothèses de Cybermenaces Guidée par Modèle de Langage</t>
  </si>
  <si>
    <t>COLCOM</t>
  </si>
  <si>
    <t>30/03/2026</t>
  </si>
  <si>
    <t>GAB-051</t>
  </si>
  <si>
    <t>Système électronique portable d’estimation du Contenu Organique et Azoté d’un Sol Agricole</t>
  </si>
  <si>
    <t>SAIDI, LAKSSIR, BOUZIDA, YAAKOUBI, KADMIRI</t>
  </si>
  <si>
    <t>GAB-052</t>
  </si>
  <si>
    <t>SYSTEME ET PROCEDE ADAPTATIF DE DIAGNOSTIC ET DE MAINTENANCE DE VEHICULE GUIDÉS PAR VISUALISATION 3D</t>
  </si>
  <si>
    <t>GAB-053</t>
  </si>
  <si>
    <t>Système flexible de régénération pour le captage du CO₂ par solvant utilisant des fluides à changement de phase/systèmes de récupération de chaleur par adsorption et sources de chaleur renouvelables</t>
  </si>
  <si>
    <t>28/07/2025</t>
  </si>
  <si>
    <t>ESM-001</t>
  </si>
  <si>
    <t>Sustainable Energy Storage &amp; Management</t>
  </si>
  <si>
    <t>Additif pour batterie Plomb-acide</t>
  </si>
  <si>
    <t>BRICHE SAMIR; REDOUANY YASSINE; JHABLI Oussama; LACHAM MOHAMMED; EL LACHAM ABDELHAMID; BOUHMAD ADIL</t>
  </si>
  <si>
    <t>MA56282</t>
  </si>
  <si>
    <t>4 PAYEE LE 5/11/2025</t>
  </si>
  <si>
    <t>MAScIR + AFRIQUE CABLES</t>
  </si>
  <si>
    <t>ESM-008</t>
  </si>
  <si>
    <t>Fabrication et Caractérisation d’un Nanomatériau Cathode Performant MnCo2O4 pour applications dans les Batteries LithiumAir à base de Matériaux Non Standard.</t>
  </si>
  <si>
    <t>ESM-009</t>
  </si>
  <si>
    <t>Fabrication et Caractérisation d’un Nouveau Nanomatériau Cathode Performant LiMn1/3Ni1/3Co1/3O4 pour applications dans les Batteries Lithiumion à base de Matériaux Non Standard.</t>
  </si>
  <si>
    <t>ESM-010</t>
  </si>
  <si>
    <t>MATERIAU A BASE DE FLUORO-PHOSPHATES POUR CATHODES DE BATTERIES SODIUM-ION ET SA FABRICATION</t>
  </si>
  <si>
    <t>ESM-011</t>
  </si>
  <si>
    <t>MATERIAU DE CATHODE A BASE DE SPINELLE LNMO DOUBLEMENT DOPE EN CUIVRE ET EN CHROME POUR BATTERIES LITHIUM-ION</t>
  </si>
  <si>
    <t>28/04/2026</t>
  </si>
  <si>
    <t>ESM-014</t>
  </si>
  <si>
    <t>Matériaux monocristallins FP et LFP en forme d'amande pour batteries lithium-ion</t>
  </si>
  <si>
    <t>25/09/2025</t>
  </si>
  <si>
    <t>ESM-021</t>
  </si>
  <si>
    <t>PROCEDE DE PREPARATION DE FePO4 DE QUALITE BATTERIE A PARTIR DE LA ROCHE PHOSPHATEE</t>
  </si>
  <si>
    <t>MA70885</t>
  </si>
  <si>
    <t>ESM-028</t>
  </si>
  <si>
    <t>Revêtement au Parylène de Matériaux Cathodiques pour Batteries Lithium-ion</t>
  </si>
  <si>
    <t>24/09/2025</t>
  </si>
  <si>
    <t>ESM-029</t>
  </si>
  <si>
    <t>SILICE PURIFIEE A PARTIR DE SOUS-PRODUIT INDUSTRIEL ET SON UTILISATION COMME COMPOSANT D’ANODE POUR BATTERIES LITHIUM-ION</t>
  </si>
  <si>
    <t>MA56293</t>
  </si>
  <si>
    <t>ESM-003</t>
  </si>
  <si>
    <t>BATTERIE INTELLIGENTE AVEC SYSTEME DE SURVEILLANCE DE L'ETAT DE SANTE EN TEMPS REEL</t>
  </si>
  <si>
    <t>LAHLALIA Ayoub; EL KAMOUNY Khadija; DAHBI Mouad; MOUAQ Mouad</t>
  </si>
  <si>
    <t>ESM-004</t>
  </si>
  <si>
    <t>Batteries avec Générateur thermoélectrique Intégré</t>
  </si>
  <si>
    <t>MA67910</t>
  </si>
  <si>
    <t>ESM-005</t>
  </si>
  <si>
    <t>Batteries avec système de refroidissement integré</t>
  </si>
  <si>
    <t>MA67297</t>
  </si>
  <si>
    <t>ESM-006</t>
  </si>
  <si>
    <t>Borne de recharge rapide universelle pour batterie de scooters électriques</t>
  </si>
  <si>
    <t>BOANARIJESY Andronic; NADOUR Mohamed; BOUKHRAIS Essadik</t>
  </si>
  <si>
    <t>MASCIR + IRESEN</t>
  </si>
  <si>
    <t>ESM-015</t>
  </si>
  <si>
    <t>Method for manufacturing a ceramic material for thermal energy storage</t>
  </si>
  <si>
    <t>IL277010</t>
  </si>
  <si>
    <t>IL277010A</t>
  </si>
  <si>
    <t>Israel</t>
  </si>
  <si>
    <t>ASSOCIATION POUR LA RECHERCHE DEVELOPPEMENT DES METHODES ET PROCESSUS INDUSTRIELS - A.R.M.I.N.E.S.; OCP SA. PRAYON</t>
  </si>
  <si>
    <t>ESM-016</t>
  </si>
  <si>
    <t>Method for producing a ceramic material for thermal energy storage</t>
  </si>
  <si>
    <t>CN201980016610.1; EP2019717516; IN202017038245; PCT/FR2019/050459; US16/976649</t>
  </si>
  <si>
    <t>CN112105590A; EP3759060A1; IN202017038245A; WO2019166741A1; US20200407616A1</t>
  </si>
  <si>
    <t>Pending; PCT designated stage expired</t>
  </si>
  <si>
    <t>China; EPO; India; WIPO; United States</t>
  </si>
  <si>
    <t>OCP有限公司; OCP SA; PRAYON; ASSOCIATION POUR LA RECHERCHE ET LE DÉVELOPPEMENT DES MÉTHODES ET PROCESSUS INDUSTRIELS "ARMINES"; ASSOCIATION POUR LA RECHERCHE DEVELOPPEMENT DES METHODES ET PROCESSUS INDUSTRIELS - A.R.M.I.N.E.S.</t>
  </si>
  <si>
    <t>ESM-007</t>
  </si>
  <si>
    <t>Cellule solaire à couche mince comprenant un réseau de nanotrous</t>
  </si>
  <si>
    <t>SEKKAT Zouheir; NESTERENKO Dmitry</t>
  </si>
  <si>
    <t>ESM-018</t>
  </si>
  <si>
    <t>microondulateur à refroidissement thermoélectrique pour cellule photovoltaïque</t>
  </si>
  <si>
    <t>LAKSSIR,BENYOUSSEF,HAMEDOUN,ELMOUSSAOUI</t>
  </si>
  <si>
    <t>ESM-030</t>
  </si>
  <si>
    <t>Système de cogénération de l'énergie électrique à partir d'un rayonnement solaire combinant un système photovoltaïque à concentration et un convertisseur thermoélectrique et son procédé de fabrication</t>
  </si>
  <si>
    <t>Ouadi SAIDI Brahim LAKSSIR Imane AZZOUZI, Hassan ELMOUSSAOUI, Mohammed HAMEDOUN, Abdel-ilah BENYOUSSEF</t>
  </si>
  <si>
    <t>ESM-031</t>
  </si>
  <si>
    <t>SYSTEME INTEGRE DE CAPTURE DIRECTE DU CO2 DANS L’AIR POUR CENTRALES SOLAIRES A TOUR ET A CHEMINEE</t>
  </si>
  <si>
    <t>13/01/2026</t>
  </si>
  <si>
    <t>ESM-023</t>
  </si>
  <si>
    <t>PROCEDE DE PYROLYSE LASER POUR LA PRODUCTION DE GAZ SYNTHETIQUE RICHE EN HYDROGENE</t>
  </si>
  <si>
    <t>13/05/2025</t>
  </si>
  <si>
    <t>RR Received Y</t>
  </si>
  <si>
    <t>ESM-026</t>
  </si>
  <si>
    <t>Réacteur hybride multi étages pour la production d'hydrogene, gaz synthetique, et carbone solide par pyrolyse et reformage plasma</t>
  </si>
  <si>
    <t>MA67596</t>
  </si>
  <si>
    <t>26/09/2024</t>
  </si>
  <si>
    <t>ESM-002</t>
  </si>
  <si>
    <t>BATTERIE AVEC SYSTEME AUTONOME ET INTEGRE DE DIAGNOSTIC</t>
  </si>
  <si>
    <t>LAHLALIA Ayoub; EL KAMOUNY Khadija; MOUAQ Mouad</t>
  </si>
  <si>
    <t>ESM-012</t>
  </si>
  <si>
    <t>MATERIAUX CATHODIQUES LAMELLAIRES POUR BATTERIES LITHIUM-ION REVETUS D’UN POLYMERE ELECTROACTIF</t>
  </si>
  <si>
    <t>ESM-013</t>
  </si>
  <si>
    <t>Matériaux d'électrolytes polyfonctionnels à base de phosphore ou de fluor pour batteries alcalines rechargeables, leur préparation et leur application</t>
  </si>
  <si>
    <t>HTMR</t>
  </si>
  <si>
    <t>ESM-019</t>
  </si>
  <si>
    <t>Nanomatériau d’Electrode Positive Haute Tension à base de Manganèse Non Standard Utilisable dans les Batteries Liion .</t>
  </si>
  <si>
    <t>ESM-020</t>
  </si>
  <si>
    <t>PROCEDE DE FABRICATION D'UN MATERIAU CERAMIQUE POUR LE STOCKAGE THERMIQUE D'ENERGIE</t>
  </si>
  <si>
    <t>FR2018051786</t>
  </si>
  <si>
    <t>FR3078533A1; FR3078533B1</t>
  </si>
  <si>
    <t>PRAYON; OCP SA; ASSOCIATION POUR LA RECHERCHE DEVELOPPEMENT DES METHODES ET PROCESSUS INDUSTRIELS</t>
  </si>
  <si>
    <t>ESM-022</t>
  </si>
  <si>
    <t>PROCEDE DE PREPARATION DE LITHIUM FER PHOSPHATE MICROMETRIQUE</t>
  </si>
  <si>
    <t>MA61717</t>
  </si>
  <si>
    <t>24/07/2023</t>
  </si>
  <si>
    <t>Negative RR, claims changed</t>
  </si>
  <si>
    <t>ESM-025</t>
  </si>
  <si>
    <t>PROCÉDÉ INTÉGRÉ DE RÉCUPÉRATION DU COBALT ET DE RÉGÉNÉRATION ÉLECTROCHIMIQUE DE FORMIATE À PARTIR DE BATTERIES LITHIUM-ION USÉES</t>
  </si>
  <si>
    <t>25/02/2026</t>
  </si>
  <si>
    <t>ESM-027</t>
  </si>
  <si>
    <t>RESEAU ENERGETIQUE HYBRIDE ET SON SYSTEME DE GESTION DES DONNEES PAR INTELLIGENCE ARTIFICIELLE</t>
  </si>
  <si>
    <t>BENNANI RACHID; BENSALAH MOUAD; DHIMNI SALIM</t>
  </si>
  <si>
    <t>Nb</t>
  </si>
  <si>
    <t>Délivrés</t>
  </si>
  <si>
    <t>Maintenu</t>
  </si>
  <si>
    <t>En cours OMPIC</t>
  </si>
  <si>
    <t>ILO, MAScIR</t>
  </si>
  <si>
    <t>ACER CoE, MSN</t>
  </si>
  <si>
    <t>MAScIR, MSN</t>
  </si>
  <si>
    <t>TOTAL</t>
  </si>
  <si>
    <t>Nb Brevets</t>
  </si>
  <si>
    <t>Nb Délivrés</t>
  </si>
  <si>
    <t>Nb Maintenu</t>
  </si>
  <si>
    <t>Nb PCT</t>
  </si>
  <si>
    <t>Nb Abandonné</t>
  </si>
  <si>
    <t>Thématiques couvertes</t>
  </si>
  <si>
    <t>Sous-thèmes principaux</t>
  </si>
  <si>
    <t>Source principale</t>
  </si>
  <si>
    <t>Circular Chemistry &amp; Waste Valorization, Sustainable Energy Storage &amp; Management</t>
  </si>
  <si>
    <t>5 thématiques</t>
  </si>
  <si>
    <t>—</t>
  </si>
  <si>
    <t>MAScIR  —  193 brevet(s)</t>
  </si>
  <si>
    <t>MSN  —  30 brevet(s)</t>
  </si>
  <si>
    <t>CBS  —  7 brevet(s)</t>
  </si>
  <si>
    <t>ACER CoE  —  11 brevet(s)</t>
  </si>
  <si>
    <t>ASARI  —  7 brevet(s)</t>
  </si>
  <si>
    <t>DICE  —  3 brevet(s)</t>
  </si>
  <si>
    <t>GTI  —  4 brevet(s)</t>
  </si>
  <si>
    <t>GSMI  —  4 brevet(s)</t>
  </si>
  <si>
    <t>LIMSET  —  4 brevet(s)</t>
  </si>
  <si>
    <t>TechCell  —  3 brevet(s)</t>
  </si>
  <si>
    <t>ILO  —  2 brevet(s)</t>
  </si>
  <si>
    <t>Al-Moutmir  —  2 brevet(s)</t>
  </si>
  <si>
    <t>D4R  —  1 brevet(s)</t>
  </si>
  <si>
    <t>HTMR  —  1 brevet(s)</t>
  </si>
  <si>
    <t>CEPH  —  1 brevet(s)</t>
  </si>
  <si>
    <t>ISTI  —  1 brevet(s)</t>
  </si>
  <si>
    <t>COLCOM  —  1 brevet(s)</t>
  </si>
  <si>
    <t>CERPHOS (historique)  —  24 brevet(s)</t>
  </si>
  <si>
    <t>Circular Chemistry &amp; Waste Valorization  —  49 brevet(s)</t>
  </si>
  <si>
    <t>Green Agriculture &amp; Biotechnology  —  51 brevet(s)</t>
  </si>
  <si>
    <t>Sustainable Energy Storage &amp; Management  —  29 brevet(s)</t>
  </si>
  <si>
    <t>▶ Environmental Tech &amp; Digital Mining  (94)</t>
  </si>
  <si>
    <t>▶ Mineral Processing &amp; Strategic Synthesis  (31)</t>
  </si>
  <si>
    <t>▶ Circular Chemistry &amp; Waste Valorization  (17)</t>
  </si>
  <si>
    <t>▶ Green Agriculture &amp; Biotechnology  (40)</t>
  </si>
  <si>
    <t>▶ Sustainable Energy Storage &amp; Management  (11)</t>
  </si>
  <si>
    <t>▶ Mineral Processing &amp; Strategic Synthesis  (5)</t>
  </si>
  <si>
    <t>▶ Circular Chemistry &amp; Waste Valorization  (15)</t>
  </si>
  <si>
    <t>▶ Green Agriculture &amp; Biotechnology  (2)</t>
  </si>
  <si>
    <t>▶ Sustainable Energy Storage &amp; Management  (8)</t>
  </si>
  <si>
    <t>▶ Environmental Tech &amp; Digital Mining  (4)</t>
  </si>
  <si>
    <t>▶ Mineral Processing &amp; Strategic Synthesis  (2)</t>
  </si>
  <si>
    <t>▶ Green Agriculture &amp; Biotechnology  (1)</t>
  </si>
  <si>
    <t>▶ Environmental Tech &amp; Digital Mining  (1)</t>
  </si>
  <si>
    <t>▶ Mineral Processing &amp; Strategic Synthesis  (3)</t>
  </si>
  <si>
    <t>▶ Circular Chemistry &amp; Waste Valorization  (3)</t>
  </si>
  <si>
    <t>▶ Sustainable Energy Storage &amp; Management  (3)</t>
  </si>
  <si>
    <t>▶ Environmental Tech &amp; Digital Mining  (2)</t>
  </si>
  <si>
    <t>▶ Circular Chemistry &amp; Waste Valorization  (1)</t>
  </si>
  <si>
    <t>▶ Green Agriculture &amp; Biotechnology  (4)</t>
  </si>
  <si>
    <t>▶ Environmental Tech &amp; Digital Mining  (3)</t>
  </si>
  <si>
    <t>▶ Sustainable Energy Storage &amp; Management  (2)</t>
  </si>
  <si>
    <t>▶ Sustainable Energy Storage &amp; Management  (1)</t>
  </si>
  <si>
    <t>▶ Mineral Processing &amp; Strategic Synthesis  (1)</t>
  </si>
  <si>
    <t>▶ Circular Chemistry &amp; Waste Valorization  (4)</t>
  </si>
  <si>
    <t>▶ Environmental Tech &amp; Digital Mining  (9)</t>
  </si>
  <si>
    <t>▶ Mineral Processing &amp; Strategic Synthesis  (11)</t>
  </si>
  <si>
    <t>📊 TABLEAU DE BORD — Portefeuille Brevets UM6P</t>
  </si>
  <si>
    <t>Nombre</t>
  </si>
  <si>
    <t>% du total</t>
  </si>
  <si>
    <t>Env. Tech &amp; Digital</t>
  </si>
  <si>
    <t>Mineral Proc.</t>
  </si>
  <si>
    <t>Circular Chem.</t>
  </si>
  <si>
    <t>Green Agri.</t>
  </si>
  <si>
    <t>Statut</t>
  </si>
  <si>
    <t>Tous</t>
  </si>
  <si>
    <t>Toutes</t>
  </si>
  <si>
    <t>INDICATEURS CLÉS DE PERFORMANCE</t>
  </si>
  <si>
    <t>Total brevets</t>
  </si>
  <si>
    <t>Maintenus actifs</t>
  </si>
  <si>
    <t>Délivrés / Actifs</t>
  </si>
  <si>
    <t>PCT international</t>
  </si>
  <si>
    <t>OMPIC en cours</t>
  </si>
  <si>
    <t>Abandonnés</t>
  </si>
  <si>
    <t>Inventeurs uniques</t>
  </si>
  <si>
    <t>5 dernières années</t>
  </si>
  <si>
    <t>Moyenne /an</t>
  </si>
  <si>
    <t>Année record</t>
  </si>
  <si>
    <t>Dernier dépôt</t>
  </si>
  <si>
    <t>% Délivré + Maint.</t>
  </si>
  <si>
    <t>% Abandonné</t>
  </si>
  <si>
    <t>% Inv. renseigné</t>
  </si>
  <si>
    <t>% Couv. géo.</t>
  </si>
  <si>
    <t>RÉPARTITION PAR THÉMATIQUE</t>
  </si>
  <si>
    <t>Autres (D4R/CEPH/ISTI/COLCOM/HTMR)</t>
  </si>
  <si>
    <t>RÉPARTITION PAR STATUT</t>
  </si>
  <si>
    <t>🔵 Maintenu / En phase nationale</t>
  </si>
  <si>
    <t>🟡 OMPIC – En cours / Publié</t>
  </si>
  <si>
    <t>Autres (Rejeté / Examen / À vérifier)</t>
  </si>
  <si>
    <t>ÉVOLUTION ANNUELLE PAR THÉMATIQUE (données datées uniquement)</t>
  </si>
  <si>
    <t>Energy Storage</t>
  </si>
  <si>
    <t>Total</t>
  </si>
  <si>
    <t>Rang</t>
  </si>
  <si>
    <t>% (filtré)</t>
  </si>
  <si>
    <t>Statut dominant</t>
  </si>
  <si>
    <t>Brevets</t>
  </si>
  <si>
    <t>Inventeur</t>
  </si>
  <si>
    <t>RÉPARTITION PAR HUB/LABORATOIRE</t>
  </si>
  <si>
    <t>Hub / Laboratoire impliquées</t>
  </si>
  <si>
    <t>UM6P · Technology Transfer Office — Portefeuille Brevets Consolidé  |  426 brevets  |  5 Thématiques  |  Confidentiel</t>
  </si>
  <si>
    <t>sous-thématique</t>
  </si>
  <si>
    <t xml:space="preserve">  ▶  Environmental Tech &amp; Digital Mining  (192 brevets)</t>
  </si>
  <si>
    <t>Agriculture, biostimulants &amp; protection végétale</t>
  </si>
  <si>
    <t>2021.0</t>
  </si>
  <si>
    <t>1.0</t>
  </si>
  <si>
    <t>72298</t>
  </si>
  <si>
    <t>2025.0</t>
  </si>
  <si>
    <t>37977</t>
  </si>
  <si>
    <t>03/04/2015</t>
  </si>
  <si>
    <t>2015.0</t>
  </si>
  <si>
    <t>2024.0</t>
  </si>
  <si>
    <t>11/09/2024</t>
  </si>
  <si>
    <t>2023.0</t>
  </si>
  <si>
    <t>71355</t>
  </si>
  <si>
    <t>55251</t>
  </si>
  <si>
    <t>51964</t>
  </si>
  <si>
    <t>2020.0</t>
  </si>
  <si>
    <t>Biotechnologies, diagnostic &amp; molécules bioactives</t>
  </si>
  <si>
    <t>55256</t>
  </si>
  <si>
    <t>60480</t>
  </si>
  <si>
    <t>41744</t>
  </si>
  <si>
    <t>2017.0</t>
  </si>
  <si>
    <t>39662</t>
  </si>
  <si>
    <t>2016.0</t>
  </si>
  <si>
    <t>38765</t>
  </si>
  <si>
    <t>47858</t>
  </si>
  <si>
    <t>2019.0</t>
  </si>
  <si>
    <t>51974</t>
  </si>
  <si>
    <t>43337</t>
  </si>
  <si>
    <t>2018.0</t>
  </si>
  <si>
    <t>44365</t>
  </si>
  <si>
    <t>52332</t>
  </si>
  <si>
    <t>37435</t>
  </si>
  <si>
    <t>2014.0</t>
  </si>
  <si>
    <t>38901</t>
  </si>
  <si>
    <t>09/03/2016</t>
  </si>
  <si>
    <t>Capteurs, spectroscopie &amp; micro-ondes</t>
  </si>
  <si>
    <t>03/10/2023</t>
  </si>
  <si>
    <t>36580</t>
  </si>
  <si>
    <t>2013.0</t>
  </si>
  <si>
    <t>36757</t>
  </si>
  <si>
    <t>57945</t>
  </si>
  <si>
    <t>2022.0</t>
  </si>
  <si>
    <t>57561</t>
  </si>
  <si>
    <t>05/08/2022</t>
  </si>
  <si>
    <t>35620</t>
  </si>
  <si>
    <t>35375</t>
  </si>
  <si>
    <t>35013</t>
  </si>
  <si>
    <t>34792</t>
  </si>
  <si>
    <t>2012.0</t>
  </si>
  <si>
    <t>39586</t>
  </si>
  <si>
    <t>72315</t>
  </si>
  <si>
    <t>27675</t>
  </si>
  <si>
    <t>39131</t>
  </si>
  <si>
    <t>41724</t>
  </si>
  <si>
    <t>36555</t>
  </si>
  <si>
    <t>12/12/2013</t>
  </si>
  <si>
    <t>41392</t>
  </si>
  <si>
    <t>03/11/2017</t>
  </si>
  <si>
    <t>37166</t>
  </si>
  <si>
    <t>Matériaux composites, polymères &amp; revêtements</t>
  </si>
  <si>
    <t>38772</t>
  </si>
  <si>
    <t>37965</t>
  </si>
  <si>
    <t>36251</t>
  </si>
  <si>
    <t>38727</t>
  </si>
  <si>
    <t>35619</t>
  </si>
  <si>
    <t>55249</t>
  </si>
  <si>
    <t>36758</t>
  </si>
  <si>
    <t>39292</t>
  </si>
  <si>
    <t>38452</t>
  </si>
  <si>
    <t>37512</t>
  </si>
  <si>
    <t>11/11/2014</t>
  </si>
  <si>
    <t>36329</t>
  </si>
  <si>
    <t>10/10/2013</t>
  </si>
  <si>
    <t>61700</t>
  </si>
  <si>
    <t>54575</t>
  </si>
  <si>
    <t>37510</t>
  </si>
  <si>
    <t>41726</t>
  </si>
  <si>
    <t>Nanomatériaux, céramiques &amp; matériaux fonctionnels</t>
  </si>
  <si>
    <t>650</t>
  </si>
  <si>
    <t>74060</t>
  </si>
  <si>
    <t>2026.0</t>
  </si>
  <si>
    <t>0.5</t>
  </si>
  <si>
    <t>07/04/2021</t>
  </si>
  <si>
    <t>36581</t>
  </si>
  <si>
    <t>38401</t>
  </si>
  <si>
    <t>09/09/2015</t>
  </si>
  <si>
    <t>OCP / CERPHOS (historique)</t>
  </si>
  <si>
    <t>37885</t>
  </si>
  <si>
    <t>02/03/2015</t>
  </si>
  <si>
    <t>39316</t>
  </si>
  <si>
    <t>36814</t>
  </si>
  <si>
    <t>10/03/2014</t>
  </si>
  <si>
    <t>38728</t>
  </si>
  <si>
    <t>57562</t>
  </si>
  <si>
    <t>29547</t>
  </si>
  <si>
    <t>38952</t>
  </si>
  <si>
    <t>06/04/2016</t>
  </si>
  <si>
    <t>47008</t>
  </si>
  <si>
    <t>Procédés phosphates, phosphogypse &amp; chimie industrielle</t>
  </si>
  <si>
    <t>25964</t>
  </si>
  <si>
    <t>Traitement de l’eau, effluents &amp; dépollution</t>
  </si>
  <si>
    <t>35509</t>
  </si>
  <si>
    <t>35228</t>
  </si>
  <si>
    <t>37537</t>
  </si>
  <si>
    <t>36129</t>
  </si>
  <si>
    <t>47835</t>
  </si>
  <si>
    <t>55255</t>
  </si>
  <si>
    <t>27773</t>
  </si>
  <si>
    <t>40802</t>
  </si>
  <si>
    <t>35149</t>
  </si>
  <si>
    <t>34933</t>
  </si>
  <si>
    <t>35011</t>
  </si>
  <si>
    <t>34790</t>
  </si>
  <si>
    <t>23694</t>
  </si>
  <si>
    <t>36965</t>
  </si>
  <si>
    <t>71780</t>
  </si>
  <si>
    <t>02/06/2025</t>
  </si>
  <si>
    <t>39542</t>
  </si>
  <si>
    <t>38269</t>
  </si>
  <si>
    <t>10/07/2015</t>
  </si>
  <si>
    <t>37273</t>
  </si>
  <si>
    <t>08/08/2014</t>
  </si>
  <si>
    <t>36097</t>
  </si>
  <si>
    <t>08/07/2013</t>
  </si>
  <si>
    <t>Vision artificielle, trafic &amp; inspection</t>
  </si>
  <si>
    <t>39099</t>
  </si>
  <si>
    <t>43312</t>
  </si>
  <si>
    <t>07/06/2016</t>
  </si>
  <si>
    <t>35507</t>
  </si>
  <si>
    <t>35227</t>
  </si>
  <si>
    <t>41390</t>
  </si>
  <si>
    <t>38268</t>
  </si>
  <si>
    <t>38374</t>
  </si>
  <si>
    <t>03/09/2015</t>
  </si>
  <si>
    <t>39401</t>
  </si>
  <si>
    <t>41391</t>
  </si>
  <si>
    <t>47857</t>
  </si>
  <si>
    <t>39607</t>
  </si>
  <si>
    <t>43434</t>
  </si>
  <si>
    <t>38448</t>
  </si>
  <si>
    <t>51963</t>
  </si>
  <si>
    <t>47830</t>
  </si>
  <si>
    <t>44366</t>
  </si>
  <si>
    <t>51959</t>
  </si>
  <si>
    <t>51965</t>
  </si>
  <si>
    <t>43336</t>
  </si>
  <si>
    <t>45886</t>
  </si>
  <si>
    <t>36096</t>
  </si>
  <si>
    <t>44423</t>
  </si>
  <si>
    <t>Électronique embarquée, RFID &amp; IoT</t>
  </si>
  <si>
    <t>44371</t>
  </si>
  <si>
    <t>46989</t>
  </si>
  <si>
    <t>34305</t>
  </si>
  <si>
    <t>34265</t>
  </si>
  <si>
    <t>2011.0</t>
  </si>
  <si>
    <t>34303</t>
  </si>
  <si>
    <t>34203</t>
  </si>
  <si>
    <t>34306</t>
  </si>
  <si>
    <t>34266</t>
  </si>
  <si>
    <t>08/02/2023</t>
  </si>
  <si>
    <t>41743</t>
  </si>
  <si>
    <t>38674</t>
  </si>
  <si>
    <t>11/12/2015</t>
  </si>
  <si>
    <t>41733</t>
  </si>
  <si>
    <t>Énergie, solaire &amp; efficacité énergétique</t>
  </si>
  <si>
    <t>51962</t>
  </si>
  <si>
    <t>47807</t>
  </si>
  <si>
    <t>56599</t>
  </si>
  <si>
    <t xml:space="preserve">  ▶  Mineral Processing &amp; Strategic Synthesis  (105 brevets)</t>
  </si>
  <si>
    <t>Ferrites, nanomatériaux magnétiques &amp; magnétocaloriques</t>
  </si>
  <si>
    <t>05/05/2017</t>
  </si>
  <si>
    <t>35675</t>
  </si>
  <si>
    <t>11</t>
  </si>
  <si>
    <t>35758</t>
  </si>
  <si>
    <t>38720</t>
  </si>
  <si>
    <t>33982</t>
  </si>
  <si>
    <t>34111</t>
  </si>
  <si>
    <t>46675</t>
  </si>
  <si>
    <t>08/08/2019</t>
  </si>
  <si>
    <t>38450</t>
  </si>
  <si>
    <t>37276</t>
  </si>
  <si>
    <t>35010</t>
  </si>
  <si>
    <t>34789</t>
  </si>
  <si>
    <t>37327</t>
  </si>
  <si>
    <t>04/09/2014</t>
  </si>
  <si>
    <t>36632</t>
  </si>
  <si>
    <t>35214</t>
  </si>
  <si>
    <t>35571</t>
  </si>
  <si>
    <t>36868</t>
  </si>
  <si>
    <t>36249</t>
  </si>
  <si>
    <t>42174</t>
  </si>
  <si>
    <t>35212</t>
  </si>
  <si>
    <t>35465</t>
  </si>
  <si>
    <t>51966</t>
  </si>
  <si>
    <t>34307</t>
  </si>
  <si>
    <t>34411</t>
  </si>
  <si>
    <t>Fertilisants phosphatés &amp; sels de phosphate</t>
  </si>
  <si>
    <t>35012</t>
  </si>
  <si>
    <t>34791</t>
  </si>
  <si>
    <t>39442</t>
  </si>
  <si>
    <t>09/11/2016</t>
  </si>
  <si>
    <t>06/02/2024</t>
  </si>
  <si>
    <t>0.25</t>
  </si>
  <si>
    <t>06/12/2018</t>
  </si>
  <si>
    <t>0.33</t>
  </si>
  <si>
    <t>Flottation &amp; enrichissement des minerais</t>
  </si>
  <si>
    <t>73614</t>
  </si>
  <si>
    <t>08/12/2025</t>
  </si>
  <si>
    <t>Matériaux composites, verre &amp; catalyseurs</t>
  </si>
  <si>
    <t>38375</t>
  </si>
  <si>
    <t>38572</t>
  </si>
  <si>
    <t>04/11/2015</t>
  </si>
  <si>
    <t>39345</t>
  </si>
  <si>
    <t>45365</t>
  </si>
  <si>
    <t>35995</t>
  </si>
  <si>
    <t>07/06/2013</t>
  </si>
  <si>
    <t>37274</t>
  </si>
  <si>
    <t>26726</t>
  </si>
  <si>
    <t>38602</t>
  </si>
  <si>
    <t>33032</t>
  </si>
  <si>
    <t>33016</t>
  </si>
  <si>
    <t>2010.0</t>
  </si>
  <si>
    <t>36869</t>
  </si>
  <si>
    <t>34304</t>
  </si>
  <si>
    <t>34204</t>
  </si>
  <si>
    <t>Phosphogypse, gypse &amp; co-produits</t>
  </si>
  <si>
    <t>Potasse, carnallite &amp; saumures</t>
  </si>
  <si>
    <t>67911</t>
  </si>
  <si>
    <t>01/10/2024</t>
  </si>
  <si>
    <t>Procédés thermiques, calcination &amp; traitement à sec</t>
  </si>
  <si>
    <t>22315</t>
  </si>
  <si>
    <t>25931</t>
  </si>
  <si>
    <t>71524</t>
  </si>
  <si>
    <t>04/02/2025</t>
  </si>
  <si>
    <t>Purification/démétallisation de l’acide phosphorique</t>
  </si>
  <si>
    <t>31827</t>
  </si>
  <si>
    <t>24159</t>
  </si>
  <si>
    <t>74005</t>
  </si>
  <si>
    <t>04/12/2024</t>
  </si>
  <si>
    <t>Récupération terres rares, uranium &amp; métaux critiques</t>
  </si>
  <si>
    <t>39252</t>
  </si>
  <si>
    <t>03/08/2016</t>
  </si>
  <si>
    <t>25713</t>
  </si>
  <si>
    <t>26573</t>
  </si>
  <si>
    <t>22663</t>
  </si>
  <si>
    <t>Équipements miniers, échantillonnage &amp; séparation solide-liquide</t>
  </si>
  <si>
    <t xml:space="preserve">  ▶  Circular Chemistry &amp; Waste Valorization  (49 brevets)</t>
  </si>
  <si>
    <t>Biomasse, biopolymères &amp; matériaux biosourcés</t>
  </si>
  <si>
    <t>37511</t>
  </si>
  <si>
    <t>72904</t>
  </si>
  <si>
    <t>38764</t>
  </si>
  <si>
    <t>74117</t>
  </si>
  <si>
    <t>02/02/2026</t>
  </si>
  <si>
    <t>38726</t>
  </si>
  <si>
    <t>37165</t>
  </si>
  <si>
    <t>36634</t>
  </si>
  <si>
    <t>71489</t>
  </si>
  <si>
    <t>74003</t>
  </si>
  <si>
    <t>56287</t>
  </si>
  <si>
    <t>04/04/2022</t>
  </si>
  <si>
    <t>57559</t>
  </si>
  <si>
    <t>08/08/2022</t>
  </si>
  <si>
    <t>35851</t>
  </si>
  <si>
    <t>35688</t>
  </si>
  <si>
    <t>Bioénergie, pyrolyse &amp; carbones</t>
  </si>
  <si>
    <t>68135</t>
  </si>
  <si>
    <t>06/03/2023</t>
  </si>
  <si>
    <t>Composites recyclés, plastiques &amp; pneus</t>
  </si>
  <si>
    <t>36966</t>
  </si>
  <si>
    <t>37354</t>
  </si>
  <si>
    <t>44364</t>
  </si>
  <si>
    <t>51958</t>
  </si>
  <si>
    <t>39643</t>
  </si>
  <si>
    <t>41473</t>
  </si>
  <si>
    <t>Dépollution, eau &amp; procédés environnementaux</t>
  </si>
  <si>
    <t>58992</t>
  </si>
  <si>
    <t>35505</t>
  </si>
  <si>
    <t>35226</t>
  </si>
  <si>
    <t>24833</t>
  </si>
  <si>
    <t>Géopolymères, ciment &amp; matériaux de construction</t>
  </si>
  <si>
    <t>07/05/2024</t>
  </si>
  <si>
    <t>Produits chimiques issus de co-produits phosphatés</t>
  </si>
  <si>
    <t>30261</t>
  </si>
  <si>
    <t>06/01/2023</t>
  </si>
  <si>
    <t>Récupération de métaux, terres rares &amp; co-produits</t>
  </si>
  <si>
    <t>71353</t>
  </si>
  <si>
    <t>Valorisation du phosphogypse</t>
  </si>
  <si>
    <t>02/06/2022</t>
  </si>
  <si>
    <t>11/03/2024</t>
  </si>
  <si>
    <t>72837</t>
  </si>
  <si>
    <t>72047</t>
  </si>
  <si>
    <t>01/07/2025</t>
  </si>
  <si>
    <t>30260</t>
  </si>
  <si>
    <t>25992</t>
  </si>
  <si>
    <t>73756</t>
  </si>
  <si>
    <t>72412</t>
  </si>
  <si>
    <t>11/08/2025</t>
  </si>
  <si>
    <t>72346</t>
  </si>
  <si>
    <t>08/08/2025</t>
  </si>
  <si>
    <t>36248</t>
  </si>
  <si>
    <t xml:space="preserve">  ▶  Green Agriculture &amp; Biotechnology  (51 brevets)</t>
  </si>
  <si>
    <t>Biocontrôle, stress végétal &amp; hydroponie</t>
  </si>
  <si>
    <t>39670</t>
  </si>
  <si>
    <t>57944</t>
  </si>
  <si>
    <t>Biofertilisants, biostimulants &amp; enrobage d’engrais</t>
  </si>
  <si>
    <t>06/05/2024</t>
  </si>
  <si>
    <t>02/04/2025</t>
  </si>
  <si>
    <t>55229</t>
  </si>
  <si>
    <t>58211</t>
  </si>
  <si>
    <t>41725</t>
  </si>
  <si>
    <t>38992</t>
  </si>
  <si>
    <t>51956</t>
  </si>
  <si>
    <t>01/09/2023</t>
  </si>
  <si>
    <t>39663</t>
  </si>
  <si>
    <t>Capteurs, électronique &amp; systèmes intelligents</t>
  </si>
  <si>
    <t>41739</t>
  </si>
  <si>
    <t>38595</t>
  </si>
  <si>
    <t>74551</t>
  </si>
  <si>
    <t>38754</t>
  </si>
  <si>
    <t>72323</t>
  </si>
  <si>
    <t>Diagnostic moléculaire &amp; kits qPCR/LAMP</t>
  </si>
  <si>
    <t>38741</t>
  </si>
  <si>
    <t>50886</t>
  </si>
  <si>
    <t>11/09/2020</t>
  </si>
  <si>
    <t>36330</t>
  </si>
  <si>
    <t>38729</t>
  </si>
  <si>
    <t>38373</t>
  </si>
  <si>
    <t>37437</t>
  </si>
  <si>
    <t>37347</t>
  </si>
  <si>
    <t>38755</t>
  </si>
  <si>
    <t>55254</t>
  </si>
  <si>
    <t>39525</t>
  </si>
  <si>
    <t>07/12/2016</t>
  </si>
  <si>
    <t>47829</t>
  </si>
  <si>
    <t>41742</t>
  </si>
  <si>
    <t>35508</t>
  </si>
  <si>
    <t>35294</t>
  </si>
  <si>
    <t>35213</t>
  </si>
  <si>
    <t>35216</t>
  </si>
  <si>
    <t>37434</t>
  </si>
  <si>
    <t>37783</t>
  </si>
  <si>
    <t>71490</t>
  </si>
  <si>
    <t>37436</t>
  </si>
  <si>
    <t>Matériaux bioactifs &amp; emballages antibactériens</t>
  </si>
  <si>
    <t>36963</t>
  </si>
  <si>
    <t>Microalgues, macroalgues &amp; extraits végétaux bioactifs</t>
  </si>
  <si>
    <t>36867</t>
  </si>
  <si>
    <t>38040</t>
  </si>
  <si>
    <t>38041</t>
  </si>
  <si>
    <t>36331</t>
  </si>
  <si>
    <t>35014</t>
  </si>
  <si>
    <t>34793</t>
  </si>
  <si>
    <t>47390</t>
  </si>
  <si>
    <t>41071</t>
  </si>
  <si>
    <t>07/09/2017</t>
  </si>
  <si>
    <t>54003</t>
  </si>
  <si>
    <t>38055</t>
  </si>
  <si>
    <t>36538</t>
  </si>
  <si>
    <t>06/12/2013</t>
  </si>
  <si>
    <t>Oncologie &amp; molécules thérapeutiques</t>
  </si>
  <si>
    <t>35506</t>
  </si>
  <si>
    <t>03/05/2021</t>
  </si>
  <si>
    <t>41732</t>
  </si>
  <si>
    <t>Santé animale/alimentaire &amp; procédés agroalimentaires</t>
  </si>
  <si>
    <t>72026</t>
  </si>
  <si>
    <t xml:space="preserve">  ▶  Sustainable Energy Storage &amp; Management  (29 brevets)</t>
  </si>
  <si>
    <t>Batteries intelligentes, diagnostic &amp; gestion thermique</t>
  </si>
  <si>
    <t>56282</t>
  </si>
  <si>
    <t>55253</t>
  </si>
  <si>
    <t>55252</t>
  </si>
  <si>
    <t>09/09/2024</t>
  </si>
  <si>
    <t>37326</t>
  </si>
  <si>
    <t>Hydrogène, gaz de synthèse &amp; pyrolyse</t>
  </si>
  <si>
    <t>71513</t>
  </si>
  <si>
    <t>Matériaux cathodiques &amp; électrodes pour batteries Li/Na</t>
  </si>
  <si>
    <t>37536</t>
  </si>
  <si>
    <t>37535</t>
  </si>
  <si>
    <t>73609</t>
  </si>
  <si>
    <t>05/12/2025</t>
  </si>
  <si>
    <t>74896</t>
  </si>
  <si>
    <t>74158</t>
  </si>
  <si>
    <t>03/03/2026</t>
  </si>
  <si>
    <t>72833</t>
  </si>
  <si>
    <t>37275</t>
  </si>
  <si>
    <t>74149</t>
  </si>
  <si>
    <t>72830</t>
  </si>
  <si>
    <t>12/04/2022</t>
  </si>
  <si>
    <t>Photovoltaïque, solaire &amp; thermoélectrique</t>
  </si>
  <si>
    <t>39098</t>
  </si>
  <si>
    <t>39587</t>
  </si>
  <si>
    <t>73999</t>
  </si>
  <si>
    <t>Recharge, mobilité électrique &amp; réseaux énergétiques</t>
  </si>
  <si>
    <t>60000</t>
  </si>
  <si>
    <t>06/04/2023</t>
  </si>
  <si>
    <t>73605</t>
  </si>
  <si>
    <t>04/12/2025</t>
  </si>
  <si>
    <t>62697</t>
  </si>
  <si>
    <t>02/10/2023</t>
  </si>
  <si>
    <t>Stockage thermique &amp; matériaux céramiques</t>
  </si>
  <si>
    <t>Synthèse LFP/FePO4 &amp; matériaux actifs phosphatés</t>
  </si>
  <si>
    <t>12/03/2025</t>
  </si>
  <si>
    <t>Abandonné/Rejeté</t>
  </si>
  <si>
    <t>Hubs Mobilisés</t>
  </si>
  <si>
    <t>TOTAL Environmental Tech &amp; Digital Mining</t>
  </si>
  <si>
    <t>ACER CoE, ASARI, Al-Moutmir, CBS, CERPHOS (historique), D4R, DICE, GTI, ILO, MAScIR, OCP / CERPHOS (historique), TechCell</t>
  </si>
  <si>
    <t>D4R, ASARI, MAScIR, DICE, Al-Moutmir</t>
  </si>
  <si>
    <t>DICE, MAScIR, TechCell, CERPHOS (historique), GTI</t>
  </si>
  <si>
    <t>MAScIR, CBS</t>
  </si>
  <si>
    <t>CERPHOS (historique), CBS, MAScIR, OCP / CERPHOS (historique)</t>
  </si>
  <si>
    <t>OCP / CERPHOS (historique), CERPHOS (historique)</t>
  </si>
  <si>
    <t>MAScIR, CERPHOS (historique), OCP / CERPHOS (historique), ACER CoE</t>
  </si>
  <si>
    <t>MAScIR, DICE, ILO</t>
  </si>
  <si>
    <t>TOTAL Mineral Processing &amp; Strategic Synthesis</t>
  </si>
  <si>
    <t>ACER CoE, CBS, CEPH, CERPHOS (historique), GSMI, MAScIR, MSN, OCP / CERPHOS (historique), TechCell</t>
  </si>
  <si>
    <t>MAScIR, OCP / CERPHOS (historique), GSMI, CERPHOS (historique), MSN</t>
  </si>
  <si>
    <t>ACER CoE, OCP / CERPHOS (historique)</t>
  </si>
  <si>
    <t>MAScIR, CERPHOS (historique), MSN</t>
  </si>
  <si>
    <t>TechCell, GSMI</t>
  </si>
  <si>
    <t>CERPHOS (historique), TechCell, ACER CoE</t>
  </si>
  <si>
    <t>OCP / CERPHOS (historique), CERPHOS (historique), MSN, CBS, CEPH</t>
  </si>
  <si>
    <t>CERPHOS (historique), ACER CoE, MAScIR, OCP / CERPHOS (historique), MSN, CBS</t>
  </si>
  <si>
    <t>TOTAL Circular Chemistry &amp; Waste Valorization</t>
  </si>
  <si>
    <t>ACER CoE, ASARI, CERPHOS (historique), GSMI, ISTI, LIMSET, MAScIR, MSN, OCP / CERPHOS (historique)</t>
  </si>
  <si>
    <t>MAScIR, GSMI, MSN</t>
  </si>
  <si>
    <t>MAScIR, CERPHOS (historique)</t>
  </si>
  <si>
    <t>CERPHOS (historique), ACER CoE</t>
  </si>
  <si>
    <t>OCP / CERPHOS (historique), LIMSET, ASARI, MSN, CERPHOS (historique), ACER CoE, ISTI, MAScIR</t>
  </si>
  <si>
    <t>TOTAL Green Agriculture &amp; Biotechnology</t>
  </si>
  <si>
    <t>ACER CoE, ASARI, CBS, COLCOM, GTI, MAScIR, MSN, OCP / CERPHOS (historique)</t>
  </si>
  <si>
    <t>ASARI, CBS, MAScIR, MSN, OCP / CERPHOS (historique)</t>
  </si>
  <si>
    <t>MAScIR, COLCOM, ACER CoE</t>
  </si>
  <si>
    <t>MAScIR, GTI</t>
  </si>
  <si>
    <t>MAScIR, ASARI</t>
  </si>
  <si>
    <t>TOTAL Sustainable Energy Storage &amp; Management</t>
  </si>
  <si>
    <t>ACER CoE, GTI, HTMR, LIMSET, MAScIR, MSN, OCP / CERPHOS (historique)</t>
  </si>
  <si>
    <t>MAScIR, ACER CoE, LIMSET, MSN</t>
  </si>
  <si>
    <t>MAScIR, ACER CoE</t>
  </si>
  <si>
    <t>MAScIR, HTMR</t>
  </si>
  <si>
    <t>TOTAL GLOBAL</t>
  </si>
  <si>
    <t>Environmental Tech &amp; Digital Mining, Green Agriculture &amp; Biotechnology, Mineral Processing &amp; Strategic Synthesis, Circular Chemistry &amp; Waste Valorization, Sustainable Energy Storage &amp; Management</t>
  </si>
  <si>
    <t>Vision artificielle, trafic &amp; inspection, Ferrites, nanomatériaux magnétiques &amp; magnétocaloriques, Diagnostic moléculaire &amp; kits qPCR/LAMP</t>
  </si>
  <si>
    <t>Portefeuille brevets MAScIR</t>
  </si>
  <si>
    <t>Mineral Processing &amp; Strategic Synthesis, Environmental Tech &amp; Digital Mining, Circular Chemistry &amp; Waste Valorization, Sustainable Energy Storage &amp; Management, Green Agriculture &amp; Biotechnology</t>
  </si>
  <si>
    <t>Procédés phosphates, phosphogypse &amp; chimie industrielle, Purification/démétallisation de l’acide phosphorique, Nanomatériaux, céramiques &amp; matériaux fonctionnels</t>
  </si>
  <si>
    <t>Circular Chemistry &amp; Waste Valorization, Sustainable Energy Storage &amp; Management, Mineral Processing &amp; Strategic Synthesis, Green Agriculture &amp; Biotechnology</t>
  </si>
  <si>
    <t>Valorisation du phosphogypse, Biomasse, biopolymères &amp; matériaux biosourcés, Matériaux cathodiques &amp; électrodes pour batteries Li/Na</t>
  </si>
  <si>
    <t>Mineral Processing &amp; Strategic Synthesis, Environmental Tech &amp; Digital Mining, Circular Chemistry &amp; Waste Valorization</t>
  </si>
  <si>
    <t>Traitement de l’eau, effluents &amp; dépollution, Récupération terres rares, uranium &amp; métaux critiques, Nanomatériaux, céramiques &amp; matériaux fonctionnels</t>
  </si>
  <si>
    <t>Mineral Processing &amp; Strategic Synthesis, Circular Chemistry &amp; Waste Valorization, Sustainable Energy Storage &amp; Management, Environmental Tech &amp; Digital Mining, Green Agriculture &amp; Biotechnology</t>
  </si>
  <si>
    <t>Matériaux cathodiques &amp; électrodes pour batteries Li/Na, Traitement de l’eau, effluents &amp; dépollution, Flottation &amp; enrichissement des minerais</t>
  </si>
  <si>
    <t>Green Agriculture &amp; Biotechnology, Environmental Tech &amp; Digital Mining, Circular Chemistry &amp; Waste Valorization</t>
  </si>
  <si>
    <t>Agriculture, biostimulants &amp; protection végétale, Microalgues, macroalgues &amp; extraits végétaux bioactifs, Valorisation du phosphogypse</t>
  </si>
  <si>
    <t>Environmental Tech &amp; Digital Mining, Mineral Processing &amp; Strategic Synthesis, Green Agriculture &amp; Biotechnology</t>
  </si>
  <si>
    <t>Matériaux composites, polymères &amp; revêtements, Nanomatériaux, céramiques &amp; matériaux fonctionnels, Purification/démétallisation de l’acide phosphorique</t>
  </si>
  <si>
    <t>Sustainable Energy Storage &amp; Management, Environmental Tech &amp; Digital Mining, Green Agriculture &amp; Biotechnology</t>
  </si>
  <si>
    <t>Batteries intelligentes, diagnostic &amp; gestion thermique, Capteurs, spectroscopie &amp; micro-ondes, Diagnostic moléculaire &amp; kits qPCR/LAMP</t>
  </si>
  <si>
    <t>Mineral Processing &amp; Strategic Synthesis, Circular Chemistry &amp; Waste Valorization</t>
  </si>
  <si>
    <t>Fertilisants phosphatés &amp; sels de phosphate, Potasse, carnallite &amp; saumures, Biomasse, biopolymères &amp; matériaux biosourcés</t>
  </si>
  <si>
    <t>Valorisation du phosphogypse, Matériaux cathodiques &amp; électrodes pour batteries Li/Na</t>
  </si>
  <si>
    <t>Agriculture, biostimulants &amp; protection végétale, Capteurs, spectroscopie &amp; micro-ondes, Électronique embarquée, RFID &amp; IoT</t>
  </si>
  <si>
    <t>Mineral Processing &amp; Strategic Synthesis, Environmental Tech &amp; Digital Mining</t>
  </si>
  <si>
    <t>Capteurs, spectroscopie &amp; micro-ondes, Potasse, carnallite &amp; saumures, Procédés thermiques, calcination &amp; traitement à sec</t>
  </si>
  <si>
    <t>Biotechnologies, diagnostic &amp; molécules bioactives, Électronique embarquée, RFID &amp; IoT</t>
  </si>
  <si>
    <t>Environmental Tech &amp; Digital Mining  —  161 brevet(s)</t>
  </si>
  <si>
    <t xml:space="preserve">  › Agriculture, biostimulants &amp; protection végétale  (9)</t>
  </si>
  <si>
    <t xml:space="preserve">  › Biotechnologies, diagnostic &amp; molécules bioactives  (13)</t>
  </si>
  <si>
    <t xml:space="preserve">  › Capteurs, spectroscopie &amp; micro-ondes  (16)</t>
  </si>
  <si>
    <t xml:space="preserve">  › Matériaux composites, polymères &amp; revêtements  (17)</t>
  </si>
  <si>
    <t xml:space="preserve">  › Nanomatériaux, céramiques &amp; matériaux fonctionnels  (26)</t>
  </si>
  <si>
    <t xml:space="preserve">  › Procédés phosphates, phosphogypse &amp; chimie industrielle  (28)</t>
  </si>
  <si>
    <t xml:space="preserve">  › Traitement de l’eau, effluents &amp; dépollution  (20)</t>
  </si>
  <si>
    <t xml:space="preserve">  › Vision artificielle, trafic &amp; inspection  (19)</t>
  </si>
  <si>
    <t xml:space="preserve">  › Électronique embarquée, RFID &amp; IoT  (10)</t>
  </si>
  <si>
    <t xml:space="preserve">  › Énergie, solaire &amp; efficacité énergétique  (3)</t>
  </si>
  <si>
    <t>Mineral Processing &amp; Strategic Synthesis  —  101 brevet(s)</t>
  </si>
  <si>
    <t xml:space="preserve">  › Ferrites, nanomatériaux magnétiques &amp; magnétocaloriques  (18)</t>
  </si>
  <si>
    <t xml:space="preserve">  › Fertilisants phosphatés &amp; sels de phosphate  (17)</t>
  </si>
  <si>
    <t xml:space="preserve">  › Flottation &amp; enrichissement des minerais  (5)</t>
  </si>
  <si>
    <t xml:space="preserve">  › Matériaux composites, verre &amp; catalyseurs  (12)</t>
  </si>
  <si>
    <t xml:space="preserve">  › Phosphogypse, gypse &amp; co-produits  (3)</t>
  </si>
  <si>
    <t xml:space="preserve">  › Potasse, carnallite &amp; saumures  (2)</t>
  </si>
  <si>
    <t xml:space="preserve">  › Procédés thermiques, calcination &amp; traitement à sec  (4)</t>
  </si>
  <si>
    <t xml:space="preserve">  › Purification/démétallisation de l’acide phosphorique  (19)</t>
  </si>
  <si>
    <t xml:space="preserve">  › Récupération terres rares, uranium &amp; métaux critiques  (17)</t>
  </si>
  <si>
    <t xml:space="preserve">  › Équipements miniers, échantillonnage &amp; séparation solide-liquide  (4)</t>
  </si>
  <si>
    <t xml:space="preserve">  › Biomasse, biopolymères &amp; matériaux biosourcés  (13)</t>
  </si>
  <si>
    <t xml:space="preserve">  › Bioénergie, pyrolyse &amp; carbones  (2)</t>
  </si>
  <si>
    <t xml:space="preserve">  › Composites recyclés, plastiques &amp; pneus  (7)</t>
  </si>
  <si>
    <t xml:space="preserve">  › Dépollution, eau &amp; procédés environnementaux  (3)</t>
  </si>
  <si>
    <t xml:space="preserve">  › Géopolymères, ciment &amp; matériaux de construction  (3)</t>
  </si>
  <si>
    <t xml:space="preserve">  › Produits chimiques issus de co-produits phosphatés  (2)</t>
  </si>
  <si>
    <t xml:space="preserve">  › Récupération de métaux, terres rares &amp; co-produits  (1)</t>
  </si>
  <si>
    <t xml:space="preserve">  › Valorisation du phosphogypse  (18)</t>
  </si>
  <si>
    <t xml:space="preserve">  › Biocontrôle, stress végétal &amp; hydroponie  (2)</t>
  </si>
  <si>
    <t xml:space="preserve">  › Biofertilisants, biostimulants &amp; enrobage d’engrais  (10)</t>
  </si>
  <si>
    <t xml:space="preserve">  › Capteurs, électronique &amp; systèmes intelligents  (5)</t>
  </si>
  <si>
    <t xml:space="preserve">  › Diagnostic moléculaire &amp; kits qPCR/LAMP  (17)</t>
  </si>
  <si>
    <t xml:space="preserve">  › Matériaux bioactifs &amp; emballages antibactériens  (1)</t>
  </si>
  <si>
    <t xml:space="preserve">  › Microalgues, macroalgues &amp; extraits végétaux bioactifs  (12)</t>
  </si>
  <si>
    <t xml:space="preserve">  › Oncologie &amp; molécules thérapeutiques  (3)</t>
  </si>
  <si>
    <t xml:space="preserve">  › Santé animale/alimentaire &amp; procédés agroalimentaires  (1)</t>
  </si>
  <si>
    <t xml:space="preserve">  › Batteries intelligentes, diagnostic &amp; gestion thermique  (6)</t>
  </si>
  <si>
    <t xml:space="preserve">  › Hydrogène, gaz de synthèse &amp; pyrolyse  (2)</t>
  </si>
  <si>
    <t xml:space="preserve">  › Matériaux cathodiques &amp; électrodes pour batteries Li/Na  (10)</t>
  </si>
  <si>
    <t xml:space="preserve">  › Photovoltaïque, solaire &amp; thermoélectrique  (3)</t>
  </si>
  <si>
    <t xml:space="preserve">  › Recharge, mobilité électrique &amp; réseaux énergétiques  (3)</t>
  </si>
  <si>
    <t xml:space="preserve">  › Stockage thermique &amp; matériaux céramiques  (3)</t>
  </si>
  <si>
    <t xml:space="preserve">  › Synthèse LFP/FePO4 &amp; matériaux actifs phosphatés  (2)</t>
  </si>
  <si>
    <t xml:space="preserve">    › Vision artificielle, trafic &amp; inspection  (19)</t>
  </si>
  <si>
    <t xml:space="preserve">    › Matériaux composites, polymères &amp; revêtements  (15)</t>
  </si>
  <si>
    <t xml:space="preserve">    › Traitement de l’eau, effluents &amp; dépollution  (13)</t>
  </si>
  <si>
    <t xml:space="preserve">    › Biotechnologies, diagnostic &amp; molécules bioactives  (12)</t>
  </si>
  <si>
    <t xml:space="preserve">    › Capteurs, spectroscopie &amp; micro-ondes  (12)</t>
  </si>
  <si>
    <t xml:space="preserve">    › Nanomatériaux, céramiques &amp; matériaux fonctionnels  (9)</t>
  </si>
  <si>
    <t xml:space="preserve">    › Électronique embarquée, RFID &amp; IoT  (8)</t>
  </si>
  <si>
    <t xml:space="preserve">    › Agriculture, biostimulants &amp; protection végétale  (3)</t>
  </si>
  <si>
    <t xml:space="preserve">    › Énergie, solaire &amp; efficacité énergétique  (3)</t>
  </si>
  <si>
    <t xml:space="preserve">    › Ferrites, nanomatériaux magnétiques &amp; magnétocaloriques  (18)</t>
  </si>
  <si>
    <t xml:space="preserve">    › Matériaux composites, verre &amp; catalyseurs  (10)</t>
  </si>
  <si>
    <t xml:space="preserve">    › Fertilisants phosphatés &amp; sels de phosphate  (2)</t>
  </si>
  <si>
    <t xml:space="preserve">    › Récupération terres rares, uranium &amp; métaux critiques  (1)</t>
  </si>
  <si>
    <t xml:space="preserve">    › Biomasse, biopolymères &amp; matériaux biosourcés  (8)</t>
  </si>
  <si>
    <t xml:space="preserve">    › Composites recyclés, plastiques &amp; pneus  (6)</t>
  </si>
  <si>
    <t xml:space="preserve">    › Dépollution, eau &amp; procédés environnementaux  (2)</t>
  </si>
  <si>
    <t xml:space="preserve">    › Valorisation du phosphogypse  (1)</t>
  </si>
  <si>
    <t xml:space="preserve">    › Diagnostic moléculaire &amp; kits qPCR/LAMP  (16)</t>
  </si>
  <si>
    <t xml:space="preserve">    › Microalgues, macroalgues &amp; extraits végétaux bioactifs  (10)</t>
  </si>
  <si>
    <t xml:space="preserve">    › Biofertilisants, biostimulants &amp; enrobage d’engrais  (6)</t>
  </si>
  <si>
    <t xml:space="preserve">    › Capteurs, électronique &amp; systèmes intelligents  (3)</t>
  </si>
  <si>
    <t xml:space="preserve">    › Biocontrôle, stress végétal &amp; hydroponie  (2)</t>
  </si>
  <si>
    <t xml:space="preserve">    › Oncologie &amp; molécules thérapeutiques  (2)</t>
  </si>
  <si>
    <t xml:space="preserve">    › Matériaux bioactifs &amp; emballages antibactériens  (1)</t>
  </si>
  <si>
    <t xml:space="preserve">    › Batteries intelligentes, diagnostic &amp; gestion thermique  (4)</t>
  </si>
  <si>
    <t xml:space="preserve">    › Matériaux cathodiques &amp; électrodes pour batteries Li/Na  (3)</t>
  </si>
  <si>
    <t xml:space="preserve">    › Photovoltaïque, solaire &amp; thermoélectrique  (2)</t>
  </si>
  <si>
    <t xml:space="preserve">    › Recharge, mobilité électrique &amp; réseaux énergétiques  (2)</t>
  </si>
  <si>
    <t xml:space="preserve">    › Matériaux composites, verre &amp; catalyseurs  (1)</t>
  </si>
  <si>
    <t xml:space="preserve">    › Purification/démétallisation de l’acide phosphorique  (1)</t>
  </si>
  <si>
    <t xml:space="preserve">    › Valorisation du phosphogypse  (5)</t>
  </si>
  <si>
    <t xml:space="preserve">    › Biomasse, biopolymères &amp; matériaux biosourcés  (4)</t>
  </si>
  <si>
    <t xml:space="preserve">    › Géopolymères, ciment &amp; matériaux de construction  (3)</t>
  </si>
  <si>
    <t xml:space="preserve">    › Bioénergie, pyrolyse &amp; carbones  (1)</t>
  </si>
  <si>
    <t xml:space="preserve">    › Composites recyclés, plastiques &amp; pneus  (1)</t>
  </si>
  <si>
    <t xml:space="preserve">    › Récupération de métaux, terres rares &amp; co-produits  (1)</t>
  </si>
  <si>
    <t xml:space="preserve">    › Biofertilisants, biostimulants &amp; enrobage d’engrais  (1)</t>
  </si>
  <si>
    <t xml:space="preserve">    › Oncologie &amp; molécules thérapeutiques  (1)</t>
  </si>
  <si>
    <t xml:space="preserve">    › Matériaux cathodiques &amp; électrodes pour batteries Li/Na  (4)</t>
  </si>
  <si>
    <t xml:space="preserve">    › Hydrogène, gaz de synthèse &amp; pyrolyse  (2)</t>
  </si>
  <si>
    <t xml:space="preserve">    › Synthèse LFP/FePO4 &amp; matériaux actifs phosphatés  (2)</t>
  </si>
  <si>
    <t xml:space="preserve">    › Matériaux composites, polymères &amp; revêtements  (2)</t>
  </si>
  <si>
    <t xml:space="preserve">    › Nanomatériaux, céramiques &amp; matériaux fonctionnels  (2)</t>
  </si>
  <si>
    <t xml:space="preserve">    › Traitement de l’eau, effluents &amp; dépollution  (1)</t>
  </si>
  <si>
    <t xml:space="preserve">    › Flottation &amp; enrichissement des minerais  (1)</t>
  </si>
  <si>
    <t xml:space="preserve">    › Procédés thermiques, calcination &amp; traitement à sec  (1)</t>
  </si>
  <si>
    <t xml:space="preserve">    › Produits chimiques issus de co-produits phosphatés  (1)</t>
  </si>
  <si>
    <t xml:space="preserve">    › Capteurs, électronique &amp; systèmes intelligents  (1)</t>
  </si>
  <si>
    <t xml:space="preserve">    › Matériaux cathodiques &amp; électrodes pour batteries Li/Na  (2)</t>
  </si>
  <si>
    <t xml:space="preserve">    › Photovoltaïque, solaire &amp; thermoélectrique  (1)</t>
  </si>
  <si>
    <t xml:space="preserve">    › Agriculture, biostimulants &amp; protection végétale  (2)</t>
  </si>
  <si>
    <t xml:space="preserve">    › Microalgues, macroalgues &amp; extraits végétaux bioactifs  (2)</t>
  </si>
  <si>
    <t xml:space="preserve">    › Santé animale/alimentaire &amp; procédés agroalimentaires  (1)</t>
  </si>
  <si>
    <t xml:space="preserve">    › Agriculture, biostimulants &amp; protection végétale  (1)</t>
  </si>
  <si>
    <t xml:space="preserve">    › Capteurs, spectroscopie &amp; micro-ondes  (1)</t>
  </si>
  <si>
    <t xml:space="preserve">    › Électronique embarquée, RFID &amp; IoT  (1)</t>
  </si>
  <si>
    <t xml:space="preserve">    › Diagnostic moléculaire &amp; kits qPCR/LAMP  (1)</t>
  </si>
  <si>
    <t xml:space="preserve">    › Batteries intelligentes, diagnostic &amp; gestion thermique  (2)</t>
  </si>
  <si>
    <t xml:space="preserve">    › Potasse, carnallite &amp; saumures  (1)</t>
  </si>
  <si>
    <t xml:space="preserve">    › Biomasse, biopolymères &amp; matériaux biosourcés  (1)</t>
  </si>
  <si>
    <t xml:space="preserve">    › Valorisation du phosphogypse  (3)</t>
  </si>
  <si>
    <t xml:space="preserve">    › Matériaux cathodiques &amp; électrodes pour batteries Li/Na  (1)</t>
  </si>
  <si>
    <t xml:space="preserve">    › Biotechnologies, diagnostic &amp; molécules bioactives  (1)</t>
  </si>
  <si>
    <t xml:space="preserve">    › Recharge, mobilité électrique &amp; réseaux énergétiques  (1)</t>
  </si>
  <si>
    <t>OCP / CERPHOS (historique)  —  92 brevet(s)</t>
  </si>
  <si>
    <t>▶ Environmental Tech &amp; Digital Mining  (41)</t>
  </si>
  <si>
    <t>▶ Mineral Processing &amp; Strategic Synthesis  (43)</t>
  </si>
  <si>
    <t xml:space="preserve">    › Procédés phosphates, phosphogypse &amp; chimie industrielle  (27)</t>
  </si>
  <si>
    <t xml:space="preserve">    › Nanomatériaux, céramiques &amp; matériaux fonctionnels  (12)</t>
  </si>
  <si>
    <t xml:space="preserve">    › Traitement de l’eau, effluents &amp; dépollution  (2)</t>
  </si>
  <si>
    <t xml:space="preserve">    › Purification/démétallisation de l’acide phosphorique  (14)</t>
  </si>
  <si>
    <t xml:space="preserve">    › Fertilisants phosphatés &amp; sels de phosphate  (10)</t>
  </si>
  <si>
    <t xml:space="preserve">    › Récupération terres rares, uranium &amp; métaux critiques  (9)</t>
  </si>
  <si>
    <t xml:space="preserve">    › Flottation &amp; enrichissement des minerais  (4)</t>
  </si>
  <si>
    <t xml:space="preserve">    › Phosphogypse, gypse &amp; co-produits  (3)</t>
  </si>
  <si>
    <t xml:space="preserve">    › Équipements miniers, échantillonnage &amp; séparation solide-liquide  (3)</t>
  </si>
  <si>
    <t xml:space="preserve">    › Valorisation du phosphogypse  (4)</t>
  </si>
  <si>
    <t xml:space="preserve">    › Stockage thermique &amp; matériaux céramiques  (3)</t>
  </si>
  <si>
    <t xml:space="preserve">    › Traitement de l’eau, effluents &amp; dépollution  (4)</t>
  </si>
  <si>
    <t xml:space="preserve">    › Nanomatériaux, céramiques &amp; matériaux fonctionnels  (3)</t>
  </si>
  <si>
    <t xml:space="preserve">    › Procédés phosphates, phosphogypse &amp; chimie industrielle  (1)</t>
  </si>
  <si>
    <t xml:space="preserve">    › Récupération terres rares, uranium &amp; métaux critiques  (4)</t>
  </si>
  <si>
    <t xml:space="preserve">    › Procédés thermiques, calcination &amp; traitement à sec  (2)</t>
  </si>
  <si>
    <t xml:space="preserve">    › Purification/démétallisation de l’acide phosphorique  (2)</t>
  </si>
  <si>
    <t xml:space="preserve">    › Fertilisants phosphatés &amp; sels de phosphate  (1)</t>
  </si>
  <si>
    <t xml:space="preserve">    › Équipements miniers, échantillonnage &amp; séparation solide-liquide  (1)</t>
  </si>
  <si>
    <t xml:space="preserve">    › Valorisation du phosphogypse  (2)</t>
  </si>
  <si>
    <t xml:space="preserve">    › Dépollution, eau &amp; procédés environnementaux  (1)</t>
  </si>
  <si>
    <t>TOP 20 SOUS-THÉMATIQUES (selon filtres actifs)</t>
  </si>
  <si>
    <t>TOP 20 INVENTEURS (selon filtres actifs)</t>
  </si>
  <si>
    <t>Couverture géographique des dépôts — un brevet déposé dans N pays compte N fois</t>
  </si>
  <si>
    <t>Australia</t>
  </si>
  <si>
    <t>Austria</t>
  </si>
  <si>
    <t>Belgium</t>
  </si>
  <si>
    <t>Canada</t>
  </si>
  <si>
    <t>China Hong Kong</t>
  </si>
  <si>
    <t>EPO</t>
  </si>
  <si>
    <t>Finland</t>
  </si>
  <si>
    <t>Hungary</t>
  </si>
  <si>
    <t>International</t>
  </si>
  <si>
    <t>Jordanien</t>
  </si>
  <si>
    <t>Poland</t>
  </si>
  <si>
    <t>Singapore</t>
  </si>
  <si>
    <t>PAYS DISTINCTS COUVERTS</t>
  </si>
  <si>
    <t>PAYS #1</t>
  </si>
  <si>
    <t>RÉPARTITION PAR PAYS (selon filtres actifs)</t>
  </si>
  <si>
    <t>Pays</t>
  </si>
  <si>
    <t>Nombre dépôts</t>
  </si>
  <si>
    <t>MA</t>
  </si>
  <si>
    <t>FR</t>
  </si>
  <si>
    <t>RU</t>
  </si>
  <si>
    <t>CN</t>
  </si>
  <si>
    <t>US</t>
  </si>
  <si>
    <t>BR</t>
  </si>
  <si>
    <t>MX</t>
  </si>
  <si>
    <t>TR</t>
  </si>
  <si>
    <t>VN</t>
  </si>
  <si>
    <t>ES</t>
  </si>
  <si>
    <t>AR</t>
  </si>
  <si>
    <t>JP</t>
  </si>
  <si>
    <t>IN</t>
  </si>
  <si>
    <t>DE</t>
  </si>
  <si>
    <t>GB</t>
  </si>
  <si>
    <t>EP</t>
  </si>
  <si>
    <t>WO</t>
  </si>
  <si>
    <t>AU</t>
  </si>
  <si>
    <t>CA</t>
  </si>
  <si>
    <t>ZA</t>
  </si>
  <si>
    <t>SG</t>
  </si>
  <si>
    <t>ID</t>
  </si>
  <si>
    <t>IL</t>
  </si>
  <si>
    <t>IT</t>
  </si>
  <si>
    <t>AT</t>
  </si>
  <si>
    <t>BE</t>
  </si>
  <si>
    <t>NL</t>
  </si>
  <si>
    <t>CH</t>
  </si>
  <si>
    <t>PL</t>
  </si>
  <si>
    <t>FI</t>
  </si>
  <si>
    <t>HU</t>
  </si>
  <si>
    <t>GR</t>
  </si>
  <si>
    <t>SA</t>
  </si>
  <si>
    <t>TN</t>
  </si>
  <si>
    <t>JO</t>
  </si>
  <si>
    <t>HK</t>
  </si>
  <si>
    <t>OA</t>
  </si>
  <si>
    <t>EA</t>
  </si>
  <si>
    <t>PC</t>
  </si>
  <si>
    <t>🌍 DEPOT DE BREVETS PAR PAYS</t>
  </si>
  <si>
    <t>État</t>
  </si>
  <si>
    <t>Sélection</t>
  </si>
  <si>
    <t>Délivré</t>
  </si>
  <si>
    <t>OMPIC</t>
  </si>
  <si>
    <t>Abandonné</t>
  </si>
  <si>
    <t>🔍 FILTRES INTERACTIFS — Cocher pour filtrer (multi-sélection). Aucune case cochée dans un filtre = toutes les valeurs.</t>
  </si>
  <si>
    <t>🔍 FILTRES INTERACTIFS — Cocher pour filtrer (multi-sélection). Aucune case cochée = toutes les valeurs.</t>
  </si>
  <si>
    <t>BREVETS AVEC DÉPÔT PAYS</t>
  </si>
  <si>
    <t>% MAROC / DÉPÔTS</t>
  </si>
  <si>
    <t>BREVETS AVEC DÉPÔT PAYS = 299 — distinct patents that have at least one country recorded in column V (each patent counted once, no double-counting)
PAYS DISTINCTS COUVERTS = 40 (unchanged)
PAYS #1 = Maroc (unchanged)
% MAROC / DÉPÔTS = 46.8% — Maroc's share of total country dépôts (since a patent can be filed in multiple countries, this is computed on the dépôt-count denominator, not on the 299 patents)</t>
  </si>
  <si>
    <t>Procédé de recyclage hydrométallurgique de black mass
industrielle de batteries lithium-ion</t>
  </si>
  <si>
    <t>Procédé de synthèse par coprécipitation d'un matériau actif
d'électrode positive de type phosphate mixte de fermanganèse
lithié, et matériau susceptible d'être obtenu par
ce procédé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</si>
</sst>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&quot;–&quot;;@"/>
    <numFmt numFmtId="165" formatCode="0.0%"/>
    <numFmt numFmtId="166" formatCode="0.0"/>
    <numFmt numFmtId="167" formatCode="#,##0;\-#,##0;\-"/>
  </numFmts>
  <fonts count="59" x14ac:knownFonts="1">
    <font>
      <sz val="11"/>
      <color theme="1"/>
      <name val="Calibri"/>
      <family val="2"/>
      <scheme val="minor"/>
    </font>
    <font>
      <b/>
      <sz val="14"/>
      <color rgb="FFFFFFFF"/>
      <name val="Century Gothic"/>
      <family val="2"/>
    </font>
    <font>
      <b/>
      <sz val="12"/>
      <color rgb="FFFFFFFF"/>
      <name val="Century Gothic"/>
      <family val="2"/>
    </font>
    <font>
      <sz val="14"/>
      <color theme="1"/>
      <name val="Calibri"/>
      <family val="2"/>
      <scheme val="minor"/>
    </font>
    <font>
      <b/>
      <sz val="14"/>
      <color rgb="FF1F4E79"/>
      <name val="Century Gothic"/>
      <family val="2"/>
    </font>
    <font>
      <b/>
      <sz val="14"/>
      <color rgb="FF1B5E20"/>
      <name val="Century Gothic"/>
      <family val="2"/>
    </font>
    <font>
      <b/>
      <sz val="14"/>
      <color rgb="FF0D47A1"/>
      <name val="Century Gothic"/>
      <family val="2"/>
    </font>
    <font>
      <b/>
      <sz val="14"/>
      <color rgb="FF006064"/>
      <name val="Century Gothic"/>
      <family val="2"/>
    </font>
    <font>
      <b/>
      <sz val="14"/>
      <color rgb="FFE65100"/>
      <name val="Century Gothic"/>
      <family val="2"/>
    </font>
    <font>
      <b/>
      <sz val="14"/>
      <color rgb="FFB71C1C"/>
      <name val="Century Gothic"/>
      <family val="2"/>
    </font>
    <font>
      <i/>
      <sz val="14"/>
      <color rgb="FF37474F"/>
      <name val="Century Gothic"/>
      <family val="2"/>
    </font>
    <font>
      <b/>
      <sz val="14"/>
      <color rgb="FF385723"/>
      <name val="Century Gothic"/>
      <family val="2"/>
    </font>
    <font>
      <b/>
      <sz val="14"/>
      <color rgb="FF5B2D8E"/>
      <name val="Century Gothic"/>
      <family val="2"/>
    </font>
    <font>
      <b/>
      <sz val="14"/>
      <color rgb="FF00602E"/>
      <name val="Century Gothic"/>
      <family val="2"/>
    </font>
    <font>
      <b/>
      <sz val="14"/>
      <color rgb="FF843C0C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sz val="14"/>
      <color rgb="FF212121"/>
      <name val="Century Gothic"/>
      <family val="2"/>
    </font>
    <font>
      <b/>
      <sz val="22"/>
      <color rgb="FFFFFFFF"/>
      <name val="Century Gothic"/>
      <family val="2"/>
    </font>
    <font>
      <b/>
      <sz val="16"/>
      <color rgb="FFFFFFFF"/>
      <name val="Century Gothic"/>
      <family val="2"/>
    </font>
    <font>
      <sz val="16"/>
      <color theme="1"/>
      <name val="Century Gothic"/>
      <family val="2"/>
    </font>
    <font>
      <i/>
      <sz val="16"/>
      <color rgb="FF7C2D12"/>
      <name val="Century Gothic"/>
      <family val="2"/>
    </font>
    <font>
      <b/>
      <sz val="16"/>
      <color rgb="FF1A1A1A"/>
      <name val="Century Gothic"/>
      <family val="2"/>
    </font>
    <font>
      <b/>
      <sz val="16"/>
      <color rgb="FFC2410C"/>
      <name val="Century Gothic"/>
      <family val="2"/>
    </font>
    <font>
      <b/>
      <sz val="16"/>
      <color rgb="FFE8D9B0"/>
      <name val="Century Gothic"/>
      <family val="2"/>
    </font>
    <font>
      <sz val="16"/>
      <color rgb="FF1A1A1A"/>
      <name val="Century Gothic"/>
      <family val="2"/>
    </font>
    <font>
      <b/>
      <sz val="16"/>
      <color rgb="FF7C2D12"/>
      <name val="Century Gothic"/>
      <family val="2"/>
    </font>
    <font>
      <b/>
      <sz val="24"/>
      <color rgb="FFFFFFFF"/>
      <name val="Century Gothic"/>
      <family val="2"/>
    </font>
    <font>
      <b/>
      <sz val="8.5"/>
      <color rgb="FFFFFFFF"/>
      <name val="Century Gothic"/>
      <family val="2"/>
    </font>
    <font>
      <b/>
      <sz val="8.5"/>
      <color rgb="FFF7A800"/>
      <name val="Century Gothic"/>
      <family val="2"/>
    </font>
    <font>
      <b/>
      <sz val="8"/>
      <color rgb="FF002147"/>
      <name val="Century Gothic"/>
      <family val="2"/>
    </font>
    <font>
      <sz val="7.5"/>
      <color rgb="FFFFFFFF"/>
      <name val="Century Gothic"/>
      <family val="2"/>
    </font>
    <font>
      <sz val="8"/>
      <color rgb="FF002147"/>
      <name val="Century Gothic"/>
      <family val="2"/>
    </font>
    <font>
      <b/>
      <sz val="8"/>
      <color rgb="FFFFFFFF"/>
      <name val="Century Gothic"/>
      <family val="2"/>
    </font>
    <font>
      <b/>
      <sz val="7.5"/>
      <color rgb="FFFFFFFF"/>
      <name val="Century Gothic"/>
      <family val="2"/>
    </font>
    <font>
      <b/>
      <sz val="7.5"/>
      <color rgb="FF002147"/>
      <name val="Century Gothic"/>
      <family val="2"/>
    </font>
    <font>
      <i/>
      <sz val="8"/>
      <color rgb="FF7F4000"/>
      <name val="Century Gothic"/>
      <family val="2"/>
    </font>
    <font>
      <b/>
      <sz val="14"/>
      <color rgb="FF37474F"/>
      <name val="Century Gothic"/>
      <family val="2"/>
    </font>
    <font>
      <b/>
      <i/>
      <sz val="14"/>
      <color rgb="FF37474F"/>
      <name val="Century Gothic"/>
      <family val="2"/>
    </font>
    <font>
      <sz val="14"/>
      <color rgb="FF1B5E20"/>
      <name val="Century Gothic"/>
      <family val="2"/>
    </font>
    <font>
      <sz val="14"/>
      <color rgb="FF0D47A1"/>
      <name val="Century Gothic"/>
      <family val="2"/>
    </font>
    <font>
      <sz val="14"/>
      <color rgb="FF006064"/>
      <name val="Century Gothic"/>
      <family val="2"/>
    </font>
    <font>
      <sz val="14"/>
      <color rgb="FFE65100"/>
      <name val="Century Gothic"/>
      <family val="2"/>
    </font>
    <font>
      <sz val="14"/>
      <color rgb="FFB71C1C"/>
      <name val="Century Gothic"/>
      <family val="2"/>
    </font>
    <font>
      <i/>
      <sz val="14"/>
      <color rgb="FF546E7A"/>
      <name val="Century Gothic"/>
      <family val="2"/>
    </font>
    <font>
      <b/>
      <sz val="14"/>
      <color rgb="FF212121"/>
      <name val="Century Gothic"/>
      <family val="2"/>
    </font>
    <font>
      <b/>
      <sz val="14"/>
      <color rgb="FF9E9E9E"/>
      <name val="Century Gothic"/>
      <family val="2"/>
    </font>
    <font>
      <b/>
      <sz val="14"/>
      <color rgb="FF1A1A1A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b/>
      <sz val="16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rgb="FF666666"/>
      <name val="Century Gothic"/>
      <family val="2"/>
    </font>
    <font>
      <b/>
      <sz val="10"/>
      <color rgb="FFFFFFFF"/>
      <name val="Century Gothic"/>
      <family val="2"/>
    </font>
    <font>
      <b/>
      <sz val="24"/>
      <color rgb="FF7C2D12"/>
      <name val="Century Gothic"/>
      <family val="2"/>
    </font>
    <font>
      <b/>
      <sz val="14"/>
      <color rgb="FFFF0000"/>
      <name val="Century Gothic"/>
      <family val="2"/>
    </font>
    <font>
      <b/>
      <sz val="10"/>
      <color rgb="FF1A1A1A"/>
      <name val="Century Gothic"/>
      <family val="2"/>
    </font>
    <font>
      <b/>
      <sz val="10"/>
      <color rgb="FF1F2937"/>
      <name val="Century Gothic"/>
      <family val="2"/>
    </font>
    <font>
      <sz val="16"/>
      <color rgb="FF1F2937"/>
      <name val="Century Gothic"/>
      <family val="2"/>
    </font>
  </fonts>
  <fills count="68">
    <fill>
      <patternFill patternType="none"/>
    </fill>
    <fill>
      <patternFill patternType="gray125"/>
    </fill>
    <fill>
      <patternFill patternType="solid">
        <fgColor rgb="FF002147"/>
      </patternFill>
    </fill>
    <fill>
      <patternFill patternType="solid">
        <fgColor rgb="FF003060"/>
      </patternFill>
    </fill>
    <fill>
      <patternFill patternType="solid">
        <fgColor rgb="FFFFFFFF"/>
      </patternFill>
    </fill>
    <fill>
      <patternFill patternType="solid">
        <fgColor rgb="FF003B73"/>
      </patternFill>
    </fill>
    <fill>
      <patternFill patternType="solid">
        <fgColor rgb="FFAAAAAA"/>
      </patternFill>
    </fill>
    <fill>
      <patternFill patternType="solid">
        <fgColor rgb="FFEBF4FF"/>
      </patternFill>
    </fill>
    <fill>
      <patternFill patternType="solid">
        <fgColor rgb="FFFF8C00"/>
      </patternFill>
    </fill>
    <fill>
      <patternFill patternType="solid">
        <fgColor rgb="FF7B3F00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rgb="FF5B2D8E"/>
      </patternFill>
    </fill>
    <fill>
      <patternFill patternType="solid">
        <fgColor rgb="FF4472C4"/>
      </patternFill>
    </fill>
    <fill>
      <patternFill patternType="solid">
        <fgColor rgb="FF7F7F7F"/>
      </patternFill>
    </fill>
    <fill>
      <patternFill patternType="solid">
        <fgColor rgb="FF538135"/>
      </patternFill>
    </fill>
    <fill>
      <patternFill patternType="solid">
        <fgColor rgb="FF2D6A4F"/>
      </patternFill>
    </fill>
    <fill>
      <patternFill patternType="solid">
        <fgColor rgb="FF005C2E"/>
      </patternFill>
    </fill>
    <fill>
      <patternFill patternType="solid">
        <fgColor rgb="FF8B0000"/>
      </patternFill>
    </fill>
    <fill>
      <patternFill patternType="solid">
        <fgColor rgb="FF006B6B"/>
      </patternFill>
    </fill>
    <fill>
      <patternFill patternType="solid">
        <fgColor rgb="FF8B4513"/>
      </patternFill>
    </fill>
    <fill>
      <patternFill patternType="solid">
        <fgColor rgb="FF1F4E79"/>
      </patternFill>
    </fill>
    <fill>
      <patternFill patternType="solid">
        <fgColor rgb="FF6F2C8B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CE9F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AD9F2"/>
        <bgColor indexed="64"/>
      </patternFill>
    </fill>
    <fill>
      <patternFill patternType="solid">
        <fgColor rgb="FFD6F0E0"/>
        <bgColor indexed="64"/>
      </patternFill>
    </fill>
    <fill>
      <patternFill patternType="solid">
        <fgColor rgb="FFFCE4D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EF6C0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0D3B66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5B2D8E"/>
        <bgColor indexed="64"/>
      </patternFill>
    </fill>
    <fill>
      <patternFill patternType="solid">
        <fgColor rgb="FF00602E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FBF5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0070C0"/>
      </patternFill>
    </fill>
    <fill>
      <patternFill patternType="solid">
        <fgColor rgb="FFF7A800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00843D"/>
      </patternFill>
    </fill>
    <fill>
      <patternFill patternType="solid">
        <fgColor rgb="FFD9A015"/>
      </patternFill>
    </fill>
    <fill>
      <patternFill patternType="solid">
        <fgColor rgb="FF37474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6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auto="1"/>
      </top>
      <bottom/>
      <diagonal/>
    </border>
    <border>
      <left style="thin">
        <color rgb="FFD6D3C7"/>
      </left>
      <right style="thin">
        <color rgb="FFD6D3C7"/>
      </right>
      <top style="medium">
        <color rgb="FF0B2447"/>
      </top>
      <bottom style="thin">
        <color rgb="FFD6D3C7"/>
      </bottom>
      <diagonal/>
    </border>
    <border>
      <left style="thin">
        <color rgb="FFD6D3C7"/>
      </left>
      <right style="thin">
        <color rgb="FFD6D3C7"/>
      </right>
      <top style="thin">
        <color rgb="FFD6D3C7"/>
      </top>
      <bottom style="thin">
        <color rgb="FFD6D3C7"/>
      </bottom>
      <diagonal/>
    </border>
    <border>
      <left/>
      <right/>
      <top style="thick">
        <color rgb="FF7C2D12"/>
      </top>
      <bottom/>
      <diagonal/>
    </border>
    <border>
      <left style="thick">
        <color rgb="FF7C2D12"/>
      </left>
      <right/>
      <top style="thick">
        <color rgb="FF7C2D12"/>
      </top>
      <bottom/>
      <diagonal/>
    </border>
    <border>
      <left/>
      <right style="thick">
        <color rgb="FF7C2D12"/>
      </right>
      <top style="thick">
        <color rgb="FF7C2D12"/>
      </top>
      <bottom/>
      <diagonal/>
    </border>
    <border>
      <left/>
      <right/>
      <top style="medium">
        <color rgb="FF7C2D12"/>
      </top>
      <bottom/>
      <diagonal/>
    </border>
    <border>
      <left/>
      <right/>
      <top style="medium">
        <color rgb="FF7C2D12"/>
      </top>
      <bottom style="medium">
        <color rgb="FF7C2D12"/>
      </bottom>
      <diagonal/>
    </border>
    <border>
      <left style="medium">
        <color rgb="FF7C2D12"/>
      </left>
      <right/>
      <top style="medium">
        <color rgb="FF7C2D12"/>
      </top>
      <bottom style="medium">
        <color rgb="FF7C2D12"/>
      </bottom>
      <diagonal/>
    </border>
    <border>
      <left/>
      <right style="medium">
        <color rgb="FF7C2D12"/>
      </right>
      <top style="medium">
        <color rgb="FF7C2D12"/>
      </top>
      <bottom style="medium">
        <color rgb="FF7C2D12"/>
      </bottom>
      <diagonal/>
    </border>
    <border>
      <left/>
      <right/>
      <top/>
      <bottom style="medium">
        <color rgb="FF7C2D12"/>
      </bottom>
      <diagonal/>
    </border>
    <border>
      <left style="medium">
        <color rgb="FF7C2D12"/>
      </left>
      <right/>
      <top style="medium">
        <color rgb="FF7C2D12"/>
      </top>
      <bottom/>
      <diagonal/>
    </border>
    <border>
      <left style="medium">
        <color rgb="FF7C2D12"/>
      </left>
      <right/>
      <top/>
      <bottom/>
      <diagonal/>
    </border>
    <border>
      <left style="medium">
        <color rgb="FF7C2D12"/>
      </left>
      <right/>
      <top/>
      <bottom style="medium">
        <color rgb="FF7C2D12"/>
      </bottom>
      <diagonal/>
    </border>
    <border>
      <left/>
      <right style="medium">
        <color rgb="FF7C2D12"/>
      </right>
      <top style="medium">
        <color rgb="FF7C2D12"/>
      </top>
      <bottom/>
      <diagonal/>
    </border>
    <border>
      <left/>
      <right style="medium">
        <color rgb="FF7C2D12"/>
      </right>
      <top/>
      <bottom style="medium">
        <color rgb="FF7C2D12"/>
      </bottom>
      <diagonal/>
    </border>
    <border>
      <left style="thin">
        <color rgb="FFC9A961"/>
      </left>
      <right style="thin">
        <color rgb="FFC9A961"/>
      </right>
      <top style="medium">
        <color rgb="FF7C2D12"/>
      </top>
      <bottom style="thin">
        <color rgb="FFC9A961"/>
      </bottom>
      <diagonal/>
    </border>
    <border>
      <left style="thin">
        <color rgb="FFC9A961"/>
      </left>
      <right style="thin">
        <color rgb="FFC9A961"/>
      </right>
      <top style="thin">
        <color rgb="FFC9A961"/>
      </top>
      <bottom style="medium">
        <color rgb="FF7C2D12"/>
      </bottom>
      <diagonal/>
    </border>
    <border>
      <left style="medium">
        <color rgb="FF7C2D12"/>
      </left>
      <right style="thin">
        <color rgb="FFC9A961"/>
      </right>
      <top style="medium">
        <color rgb="FF7C2D12"/>
      </top>
      <bottom style="thin">
        <color rgb="FFC9A961"/>
      </bottom>
      <diagonal/>
    </border>
    <border>
      <left style="medium">
        <color rgb="FF7C2D12"/>
      </left>
      <right style="thin">
        <color rgb="FFC9A961"/>
      </right>
      <top style="thin">
        <color rgb="FFC9A961"/>
      </top>
      <bottom style="medium">
        <color rgb="FF7C2D12"/>
      </bottom>
      <diagonal/>
    </border>
    <border>
      <left style="thin">
        <color rgb="FFD6D3C7"/>
      </left>
      <right style="thin">
        <color rgb="FFD6D3C7"/>
      </right>
      <top style="thin">
        <color rgb="FFD6D3C7"/>
      </top>
      <bottom style="medium">
        <color rgb="FF7C2D12"/>
      </bottom>
      <diagonal/>
    </border>
    <border>
      <left style="medium">
        <color rgb="FF7C2D12"/>
      </left>
      <right style="thin">
        <color rgb="FFD6D3C7"/>
      </right>
      <top style="medium">
        <color rgb="FF0B2447"/>
      </top>
      <bottom style="thin">
        <color rgb="FFD6D3C7"/>
      </bottom>
      <diagonal/>
    </border>
    <border>
      <left style="medium">
        <color rgb="FF7C2D12"/>
      </left>
      <right style="thin">
        <color rgb="FFD6D3C7"/>
      </right>
      <top style="thin">
        <color rgb="FFD6D3C7"/>
      </top>
      <bottom style="thin">
        <color rgb="FFD6D3C7"/>
      </bottom>
      <diagonal/>
    </border>
    <border>
      <left style="medium">
        <color rgb="FF7C2D12"/>
      </left>
      <right style="thin">
        <color rgb="FFD6D3C7"/>
      </right>
      <top style="thin">
        <color rgb="FFD6D3C7"/>
      </top>
      <bottom style="medium">
        <color rgb="FF7C2D12"/>
      </bottom>
      <diagonal/>
    </border>
    <border>
      <left style="thin">
        <color rgb="FFD6D3C7"/>
      </left>
      <right style="medium">
        <color rgb="FF7C2D12"/>
      </right>
      <top style="medium">
        <color rgb="FF0B2447"/>
      </top>
      <bottom style="thin">
        <color rgb="FFD6D3C7"/>
      </bottom>
      <diagonal/>
    </border>
    <border>
      <left style="thin">
        <color rgb="FFD6D3C7"/>
      </left>
      <right style="medium">
        <color rgb="FF7C2D12"/>
      </right>
      <top style="thin">
        <color rgb="FFD6D3C7"/>
      </top>
      <bottom style="thin">
        <color rgb="FFD6D3C7"/>
      </bottom>
      <diagonal/>
    </border>
    <border>
      <left style="thin">
        <color rgb="FFD6D3C7"/>
      </left>
      <right style="medium">
        <color rgb="FF7C2D12"/>
      </right>
      <top style="thin">
        <color rgb="FFD6D3C7"/>
      </top>
      <bottom style="medium">
        <color rgb="FF7C2D12"/>
      </bottom>
      <diagonal/>
    </border>
    <border>
      <left style="thin">
        <color rgb="FFD6D3C7"/>
      </left>
      <right style="thin">
        <color rgb="FFD6D3C7"/>
      </right>
      <top style="medium">
        <color rgb="FF7C2D12"/>
      </top>
      <bottom style="thin">
        <color rgb="FFD6D3C7"/>
      </bottom>
      <diagonal/>
    </border>
    <border>
      <left style="medium">
        <color rgb="FF7C2D12"/>
      </left>
      <right style="thin">
        <color rgb="FFD6D3C7"/>
      </right>
      <top style="medium">
        <color rgb="FF7C2D12"/>
      </top>
      <bottom style="thin">
        <color rgb="FFD6D3C7"/>
      </bottom>
      <diagonal/>
    </border>
    <border>
      <left style="thin">
        <color rgb="FFD6D3C7"/>
      </left>
      <right style="medium">
        <color rgb="FF7C2D12"/>
      </right>
      <top style="medium">
        <color rgb="FF7C2D12"/>
      </top>
      <bottom style="thin">
        <color rgb="FFD6D3C7"/>
      </bottom>
      <diagonal/>
    </border>
    <border>
      <left style="medium">
        <color rgb="FF7C2D12"/>
      </left>
      <right style="thin">
        <color rgb="FFD6D3C7"/>
      </right>
      <top style="thin">
        <color rgb="FFD6D3C7"/>
      </top>
      <bottom/>
      <diagonal/>
    </border>
    <border>
      <left style="thin">
        <color rgb="FFD6D3C7"/>
      </left>
      <right style="thin">
        <color rgb="FFD6D3C7"/>
      </right>
      <top style="thin">
        <color rgb="FFD6D3C7"/>
      </top>
      <bottom/>
      <diagonal/>
    </border>
    <border>
      <left style="thin">
        <color rgb="FFD6D3C7"/>
      </left>
      <right style="medium">
        <color rgb="FF7C2D12"/>
      </right>
      <top style="thin">
        <color rgb="FFD6D3C7"/>
      </top>
      <bottom/>
      <diagonal/>
    </border>
    <border>
      <left/>
      <right style="thin">
        <color rgb="FFFFFFFF"/>
      </right>
      <top/>
      <bottom style="medium">
        <color rgb="FFF7A800"/>
      </bottom>
      <diagonal/>
    </border>
    <border>
      <left/>
      <right/>
      <top style="medium">
        <color rgb="FFF7A800"/>
      </top>
      <bottom/>
      <diagonal/>
    </border>
    <border>
      <left/>
      <right style="hair">
        <color rgb="FFD9D9D9"/>
      </right>
      <top/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FED7AA"/>
      </right>
      <top style="thin">
        <color rgb="FFFED7AA"/>
      </top>
      <bottom style="thin">
        <color rgb="FFFED7AA"/>
      </bottom>
      <diagonal/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FED7AA"/>
      </bottom>
      <diagonal/>
    </border>
    <border>
      <left style="thin">
        <color rgb="FFFED7AA"/>
      </left>
      <right/>
      <top style="thin">
        <color rgb="FFFED7AA"/>
      </top>
      <bottom style="thin">
        <color rgb="FFFED7AA"/>
      </bottom>
      <diagonal/>
    </border>
    <border>
      <left/>
      <right style="thin">
        <color rgb="FFFED7AA"/>
      </right>
      <top style="thin">
        <color rgb="FFEA580C"/>
      </top>
      <bottom style="thin">
        <color rgb="FFFED7AA"/>
      </bottom>
      <diagonal/>
    </border>
    <border>
      <left style="thin">
        <color rgb="FFFED7AA"/>
      </left>
      <right style="thin">
        <color rgb="FFFED7AA"/>
      </right>
      <top style="thin">
        <color rgb="FFEA580C"/>
      </top>
      <bottom style="thin">
        <color rgb="FFFED7AA"/>
      </bottom>
      <diagonal/>
    </border>
    <border>
      <left style="thin">
        <color rgb="FFFED7AA"/>
      </left>
      <right/>
      <top style="thin">
        <color rgb="FFEA580C"/>
      </top>
      <bottom style="thin">
        <color rgb="FFFED7AA"/>
      </bottom>
      <diagonal/>
    </border>
    <border>
      <left/>
      <right style="thin">
        <color rgb="FFFED7AA"/>
      </right>
      <top style="thin">
        <color rgb="FFFED7AA"/>
      </top>
      <bottom style="thin">
        <color rgb="FFEA580C"/>
      </bottom>
      <diagonal/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EA580C"/>
      </bottom>
      <diagonal/>
    </border>
    <border>
      <left style="thin">
        <color rgb="FFFED7AA"/>
      </left>
      <right/>
      <top style="thin">
        <color rgb="FFFED7AA"/>
      </top>
      <bottom style="thin">
        <color rgb="FFEA580C"/>
      </bottom>
      <diagonal/>
    </border>
    <border>
      <left style="medium">
        <color rgb="FF7C2D12"/>
      </left>
      <right/>
      <top style="medium">
        <color rgb="FF7C2D12"/>
      </top>
      <bottom style="medium">
        <color rgb="FF0B2447"/>
      </bottom>
      <diagonal/>
    </border>
    <border>
      <left/>
      <right/>
      <top style="medium">
        <color rgb="FF7C2D12"/>
      </top>
      <bottom style="medium">
        <color rgb="FF0B2447"/>
      </bottom>
      <diagonal/>
    </border>
    <border>
      <left/>
      <right style="medium">
        <color rgb="FF7C2D12"/>
      </right>
      <top style="medium">
        <color rgb="FF7C2D12"/>
      </top>
      <bottom style="medium">
        <color rgb="FF0B2447"/>
      </bottom>
      <diagonal/>
    </border>
    <border>
      <left style="medium">
        <color rgb="FF7C2D12"/>
      </left>
      <right/>
      <top style="medium">
        <color rgb="FF7C2D12"/>
      </top>
      <bottom style="thin">
        <color auto="1"/>
      </bottom>
      <diagonal/>
    </border>
    <border>
      <left/>
      <right style="medium">
        <color rgb="FF7C2D12"/>
      </right>
      <top style="medium">
        <color rgb="FF7C2D12"/>
      </top>
      <bottom style="thin">
        <color auto="1"/>
      </bottom>
      <diagonal/>
    </border>
    <border>
      <left/>
      <right style="medium">
        <color rgb="FF7C2D12"/>
      </right>
      <top/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3" fillId="0" borderId="0" xfId="0" applyFont="1"/>
    <xf numFmtId="0" fontId="4" fillId="25" borderId="1" xfId="0" applyFont="1" applyFill="1" applyBorder="1" applyAlignment="1">
      <alignment horizontal="left" vertical="center" wrapText="1"/>
    </xf>
    <xf numFmtId="0" fontId="10" fillId="35" borderId="1" xfId="0" applyFont="1" applyFill="1" applyBorder="1" applyAlignment="1">
      <alignment horizontal="left" vertical="center" wrapText="1"/>
    </xf>
    <xf numFmtId="0" fontId="4" fillId="25" borderId="2" xfId="0" applyFont="1" applyFill="1" applyBorder="1" applyAlignment="1">
      <alignment horizontal="left" vertical="center" wrapText="1"/>
    </xf>
    <xf numFmtId="0" fontId="10" fillId="35" borderId="2" xfId="0" applyFont="1" applyFill="1" applyBorder="1" applyAlignment="1">
      <alignment horizontal="left" vertical="center" wrapText="1"/>
    </xf>
    <xf numFmtId="0" fontId="11" fillId="26" borderId="3" xfId="0" applyFont="1" applyFill="1" applyBorder="1" applyAlignment="1">
      <alignment horizontal="left" vertical="center" wrapText="1"/>
    </xf>
    <xf numFmtId="0" fontId="10" fillId="35" borderId="3" xfId="0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left" vertical="center" wrapText="1"/>
    </xf>
    <xf numFmtId="0" fontId="11" fillId="26" borderId="2" xfId="0" applyFont="1" applyFill="1" applyBorder="1" applyAlignment="1">
      <alignment horizontal="left" vertical="center" wrapText="1"/>
    </xf>
    <xf numFmtId="0" fontId="12" fillId="27" borderId="3" xfId="0" applyFont="1" applyFill="1" applyBorder="1" applyAlignment="1">
      <alignment horizontal="left" vertical="center" wrapText="1"/>
    </xf>
    <xf numFmtId="0" fontId="12" fillId="27" borderId="1" xfId="0" applyFont="1" applyFill="1" applyBorder="1" applyAlignment="1">
      <alignment horizontal="left" vertical="center" wrapText="1"/>
    </xf>
    <xf numFmtId="0" fontId="12" fillId="27" borderId="2" xfId="0" applyFont="1" applyFill="1" applyBorder="1" applyAlignment="1">
      <alignment horizontal="left" vertical="center" wrapText="1"/>
    </xf>
    <xf numFmtId="0" fontId="13" fillId="28" borderId="3" xfId="0" applyFont="1" applyFill="1" applyBorder="1" applyAlignment="1">
      <alignment horizontal="left" vertical="center" wrapText="1"/>
    </xf>
    <xf numFmtId="0" fontId="13" fillId="28" borderId="1" xfId="0" applyFont="1" applyFill="1" applyBorder="1" applyAlignment="1">
      <alignment horizontal="left" vertical="center" wrapText="1"/>
    </xf>
    <xf numFmtId="0" fontId="13" fillId="28" borderId="2" xfId="0" applyFont="1" applyFill="1" applyBorder="1" applyAlignment="1">
      <alignment horizontal="left" vertical="center" wrapText="1"/>
    </xf>
    <xf numFmtId="0" fontId="14" fillId="29" borderId="3" xfId="0" applyFont="1" applyFill="1" applyBorder="1" applyAlignment="1">
      <alignment horizontal="left" vertical="center" wrapText="1"/>
    </xf>
    <xf numFmtId="0" fontId="14" fillId="29" borderId="1" xfId="0" applyFont="1" applyFill="1" applyBorder="1" applyAlignment="1">
      <alignment horizontal="left" vertical="center" wrapText="1"/>
    </xf>
    <xf numFmtId="0" fontId="14" fillId="29" borderId="2" xfId="0" applyFont="1" applyFill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20" fillId="46" borderId="0" xfId="0" applyFont="1" applyFill="1"/>
    <xf numFmtId="0" fontId="20" fillId="0" borderId="0" xfId="0" applyFont="1"/>
    <xf numFmtId="0" fontId="19" fillId="49" borderId="23" xfId="0" applyFont="1" applyFill="1" applyBorder="1" applyAlignment="1">
      <alignment horizontal="center" vertical="center"/>
    </xf>
    <xf numFmtId="0" fontId="19" fillId="49" borderId="21" xfId="0" applyFont="1" applyFill="1" applyBorder="1" applyAlignment="1">
      <alignment horizontal="center" vertical="center"/>
    </xf>
    <xf numFmtId="0" fontId="19" fillId="49" borderId="11" xfId="0" applyFont="1" applyFill="1" applyBorder="1" applyAlignment="1">
      <alignment horizontal="center" vertical="center"/>
    </xf>
    <xf numFmtId="0" fontId="19" fillId="49" borderId="19" xfId="0" applyFont="1" applyFill="1" applyBorder="1" applyAlignment="1">
      <alignment horizontal="center" vertical="center"/>
    </xf>
    <xf numFmtId="3" fontId="23" fillId="50" borderId="24" xfId="0" applyNumberFormat="1" applyFont="1" applyFill="1" applyBorder="1" applyAlignment="1">
      <alignment horizontal="center" vertical="center"/>
    </xf>
    <xf numFmtId="3" fontId="23" fillId="50" borderId="22" xfId="0" applyNumberFormat="1" applyFont="1" applyFill="1" applyBorder="1" applyAlignment="1">
      <alignment horizontal="center" vertical="center"/>
    </xf>
    <xf numFmtId="0" fontId="23" fillId="50" borderId="15" xfId="0" applyFont="1" applyFill="1" applyBorder="1" applyAlignment="1">
      <alignment horizontal="center" vertical="center"/>
    </xf>
    <xf numFmtId="0" fontId="23" fillId="50" borderId="20" xfId="0" applyFont="1" applyFill="1" applyBorder="1" applyAlignment="1">
      <alignment horizontal="center" vertical="center"/>
    </xf>
    <xf numFmtId="166" fontId="23" fillId="50" borderId="22" xfId="0" applyNumberFormat="1" applyFont="1" applyFill="1" applyBorder="1" applyAlignment="1">
      <alignment horizontal="center" vertical="center"/>
    </xf>
    <xf numFmtId="1" fontId="23" fillId="50" borderId="22" xfId="0" applyNumberFormat="1" applyFont="1" applyFill="1" applyBorder="1" applyAlignment="1">
      <alignment horizontal="center" vertical="center"/>
    </xf>
    <xf numFmtId="165" fontId="23" fillId="50" borderId="22" xfId="0" applyNumberFormat="1" applyFont="1" applyFill="1" applyBorder="1" applyAlignment="1">
      <alignment horizontal="center" vertical="center"/>
    </xf>
    <xf numFmtId="0" fontId="24" fillId="46" borderId="0" xfId="0" applyFont="1" applyFill="1" applyAlignment="1">
      <alignment horizontal="center" vertical="center"/>
    </xf>
    <xf numFmtId="0" fontId="19" fillId="49" borderId="26" xfId="0" applyFont="1" applyFill="1" applyBorder="1" applyAlignment="1">
      <alignment horizontal="center" vertical="center"/>
    </xf>
    <xf numFmtId="0" fontId="19" fillId="49" borderId="6" xfId="0" applyFont="1" applyFill="1" applyBorder="1" applyAlignment="1">
      <alignment horizontal="center" vertical="center"/>
    </xf>
    <xf numFmtId="0" fontId="19" fillId="49" borderId="29" xfId="0" applyFont="1" applyFill="1" applyBorder="1" applyAlignment="1">
      <alignment horizontal="center" vertical="center"/>
    </xf>
    <xf numFmtId="0" fontId="25" fillId="50" borderId="27" xfId="0" applyFont="1" applyFill="1" applyBorder="1" applyAlignment="1">
      <alignment vertical="center"/>
    </xf>
    <xf numFmtId="3" fontId="22" fillId="50" borderId="7" xfId="0" applyNumberFormat="1" applyFont="1" applyFill="1" applyBorder="1" applyAlignment="1">
      <alignment horizontal="right" vertical="center"/>
    </xf>
    <xf numFmtId="165" fontId="25" fillId="50" borderId="30" xfId="0" applyNumberFormat="1" applyFont="1" applyFill="1" applyBorder="1" applyAlignment="1">
      <alignment horizontal="right" vertical="center"/>
    </xf>
    <xf numFmtId="0" fontId="25" fillId="51" borderId="27" xfId="0" applyFont="1" applyFill="1" applyBorder="1" applyAlignment="1">
      <alignment vertical="center"/>
    </xf>
    <xf numFmtId="3" fontId="22" fillId="51" borderId="7" xfId="0" applyNumberFormat="1" applyFont="1" applyFill="1" applyBorder="1" applyAlignment="1">
      <alignment horizontal="right" vertical="center"/>
    </xf>
    <xf numFmtId="165" fontId="25" fillId="51" borderId="30" xfId="0" applyNumberFormat="1" applyFont="1" applyFill="1" applyBorder="1" applyAlignment="1">
      <alignment horizontal="right" vertical="center"/>
    </xf>
    <xf numFmtId="0" fontId="26" fillId="52" borderId="28" xfId="0" applyFont="1" applyFill="1" applyBorder="1" applyAlignment="1">
      <alignment horizontal="left" vertical="center"/>
    </xf>
    <xf numFmtId="3" fontId="26" fillId="52" borderId="25" xfId="0" applyNumberFormat="1" applyFont="1" applyFill="1" applyBorder="1" applyAlignment="1">
      <alignment horizontal="right" vertical="center"/>
    </xf>
    <xf numFmtId="165" fontId="26" fillId="52" borderId="31" xfId="0" applyNumberFormat="1" applyFont="1" applyFill="1" applyBorder="1" applyAlignment="1">
      <alignment horizontal="right" vertical="center"/>
    </xf>
    <xf numFmtId="0" fontId="26" fillId="52" borderId="28" xfId="0" applyFont="1" applyFill="1" applyBorder="1" applyAlignment="1">
      <alignment vertical="center"/>
    </xf>
    <xf numFmtId="0" fontId="26" fillId="52" borderId="35" xfId="0" applyFont="1" applyFill="1" applyBorder="1" applyAlignment="1">
      <alignment vertical="center"/>
    </xf>
    <xf numFmtId="3" fontId="26" fillId="52" borderId="36" xfId="0" applyNumberFormat="1" applyFont="1" applyFill="1" applyBorder="1" applyAlignment="1">
      <alignment horizontal="right" vertical="center"/>
    </xf>
    <xf numFmtId="165" fontId="26" fillId="52" borderId="37" xfId="0" applyNumberFormat="1" applyFont="1" applyFill="1" applyBorder="1" applyAlignment="1">
      <alignment horizontal="right" vertical="center"/>
    </xf>
    <xf numFmtId="0" fontId="19" fillId="47" borderId="33" xfId="0" applyFont="1" applyFill="1" applyBorder="1" applyAlignment="1">
      <alignment horizontal="center" vertical="center"/>
    </xf>
    <xf numFmtId="0" fontId="19" fillId="47" borderId="32" xfId="0" applyFont="1" applyFill="1" applyBorder="1" applyAlignment="1">
      <alignment horizontal="center" vertical="center"/>
    </xf>
    <xf numFmtId="0" fontId="19" fillId="47" borderId="34" xfId="0" applyFont="1" applyFill="1" applyBorder="1" applyAlignment="1">
      <alignment horizontal="center" vertical="center"/>
    </xf>
    <xf numFmtId="167" fontId="25" fillId="50" borderId="7" xfId="0" applyNumberFormat="1" applyFont="1" applyFill="1" applyBorder="1" applyAlignment="1">
      <alignment horizontal="right" vertical="center"/>
    </xf>
    <xf numFmtId="167" fontId="23" fillId="50" borderId="30" xfId="0" applyNumberFormat="1" applyFont="1" applyFill="1" applyBorder="1" applyAlignment="1">
      <alignment horizontal="right" vertical="center"/>
    </xf>
    <xf numFmtId="167" fontId="25" fillId="51" borderId="7" xfId="0" applyNumberFormat="1" applyFont="1" applyFill="1" applyBorder="1" applyAlignment="1">
      <alignment horizontal="right" vertical="center"/>
    </xf>
    <xf numFmtId="167" fontId="23" fillId="51" borderId="30" xfId="0" applyNumberFormat="1" applyFont="1" applyFill="1" applyBorder="1" applyAlignment="1">
      <alignment horizontal="right" vertical="center"/>
    </xf>
    <xf numFmtId="167" fontId="25" fillId="50" borderId="25" xfId="0" applyNumberFormat="1" applyFont="1" applyFill="1" applyBorder="1" applyAlignment="1">
      <alignment horizontal="right" vertical="center"/>
    </xf>
    <xf numFmtId="167" fontId="23" fillId="50" borderId="31" xfId="0" applyNumberFormat="1" applyFont="1" applyFill="1" applyBorder="1" applyAlignment="1">
      <alignment horizontal="right" vertical="center"/>
    </xf>
    <xf numFmtId="0" fontId="19" fillId="49" borderId="2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center"/>
    </xf>
    <xf numFmtId="0" fontId="19" fillId="49" borderId="29" xfId="0" applyFont="1" applyFill="1" applyBorder="1" applyAlignment="1">
      <alignment horizontal="center"/>
    </xf>
    <xf numFmtId="1" fontId="23" fillId="50" borderId="27" xfId="0" applyNumberFormat="1" applyFont="1" applyFill="1" applyBorder="1" applyAlignment="1">
      <alignment horizontal="center" vertical="center"/>
    </xf>
    <xf numFmtId="0" fontId="25" fillId="50" borderId="7" xfId="0" applyFont="1" applyFill="1" applyBorder="1" applyAlignment="1">
      <alignment horizontal="left" vertical="center"/>
    </xf>
    <xf numFmtId="3" fontId="26" fillId="50" borderId="7" xfId="0" applyNumberFormat="1" applyFont="1" applyFill="1" applyBorder="1" applyAlignment="1">
      <alignment horizontal="right" vertical="center"/>
    </xf>
    <xf numFmtId="165" fontId="25" fillId="50" borderId="7" xfId="0" applyNumberFormat="1" applyFont="1" applyFill="1" applyBorder="1" applyAlignment="1">
      <alignment horizontal="right" vertical="center"/>
    </xf>
    <xf numFmtId="0" fontId="25" fillId="50" borderId="30" xfId="0" applyFont="1" applyFill="1" applyBorder="1" applyAlignment="1">
      <alignment horizontal="center" vertical="center"/>
    </xf>
    <xf numFmtId="1" fontId="23" fillId="51" borderId="27" xfId="0" applyNumberFormat="1" applyFont="1" applyFill="1" applyBorder="1" applyAlignment="1">
      <alignment horizontal="center" vertical="center"/>
    </xf>
    <xf numFmtId="0" fontId="25" fillId="51" borderId="7" xfId="0" applyFont="1" applyFill="1" applyBorder="1" applyAlignment="1">
      <alignment horizontal="left" vertical="center"/>
    </xf>
    <xf numFmtId="3" fontId="26" fillId="51" borderId="7" xfId="0" applyNumberFormat="1" applyFont="1" applyFill="1" applyBorder="1" applyAlignment="1">
      <alignment horizontal="right" vertical="center"/>
    </xf>
    <xf numFmtId="165" fontId="25" fillId="51" borderId="7" xfId="0" applyNumberFormat="1" applyFont="1" applyFill="1" applyBorder="1" applyAlignment="1">
      <alignment horizontal="right" vertical="center"/>
    </xf>
    <xf numFmtId="0" fontId="25" fillId="51" borderId="30" xfId="0" applyFont="1" applyFill="1" applyBorder="1" applyAlignment="1">
      <alignment horizontal="center" vertical="center"/>
    </xf>
    <xf numFmtId="0" fontId="23" fillId="50" borderId="27" xfId="0" applyFont="1" applyFill="1" applyBorder="1" applyAlignment="1">
      <alignment horizontal="center" vertical="center"/>
    </xf>
    <xf numFmtId="3" fontId="26" fillId="50" borderId="30" xfId="0" applyNumberFormat="1" applyFont="1" applyFill="1" applyBorder="1" applyAlignment="1">
      <alignment horizontal="right" vertical="center"/>
    </xf>
    <xf numFmtId="0" fontId="23" fillId="51" borderId="27" xfId="0" applyFont="1" applyFill="1" applyBorder="1" applyAlignment="1">
      <alignment horizontal="center" vertical="center"/>
    </xf>
    <xf numFmtId="0" fontId="28" fillId="2" borderId="38" xfId="0" applyFont="1" applyFill="1" applyBorder="1" applyAlignment="1">
      <alignment horizontal="center" vertical="center" wrapText="1"/>
    </xf>
    <xf numFmtId="0" fontId="29" fillId="2" borderId="39" xfId="0" applyFont="1" applyFill="1" applyBorder="1" applyAlignment="1">
      <alignment horizontal="left" vertical="center"/>
    </xf>
    <xf numFmtId="0" fontId="30" fillId="4" borderId="40" xfId="0" applyFont="1" applyFill="1" applyBorder="1" applyAlignment="1">
      <alignment horizontal="center" vertical="center"/>
    </xf>
    <xf numFmtId="0" fontId="31" fillId="2" borderId="40" xfId="0" applyFont="1" applyFill="1" applyBorder="1" applyAlignment="1">
      <alignment horizontal="left" vertical="center" wrapText="1"/>
    </xf>
    <xf numFmtId="0" fontId="32" fillId="4" borderId="40" xfId="0" applyFont="1" applyFill="1" applyBorder="1" applyAlignment="1">
      <alignment horizontal="left" vertical="center" wrapText="1"/>
    </xf>
    <xf numFmtId="0" fontId="33" fillId="8" borderId="40" xfId="0" applyFont="1" applyFill="1" applyBorder="1" applyAlignment="1">
      <alignment horizontal="center" vertical="center"/>
    </xf>
    <xf numFmtId="0" fontId="34" fillId="53" borderId="40" xfId="0" applyFont="1" applyFill="1" applyBorder="1" applyAlignment="1">
      <alignment horizontal="center" vertical="center" wrapText="1"/>
    </xf>
    <xf numFmtId="0" fontId="32" fillId="4" borderId="40" xfId="0" applyFont="1" applyFill="1" applyBorder="1" applyAlignment="1">
      <alignment horizontal="center" vertical="center"/>
    </xf>
    <xf numFmtId="0" fontId="33" fillId="15" borderId="40" xfId="0" applyFont="1" applyFill="1" applyBorder="1" applyAlignment="1">
      <alignment horizontal="center" vertical="center"/>
    </xf>
    <xf numFmtId="0" fontId="35" fillId="54" borderId="40" xfId="0" applyFont="1" applyFill="1" applyBorder="1" applyAlignment="1">
      <alignment horizontal="center" vertical="center" wrapText="1"/>
    </xf>
    <xf numFmtId="0" fontId="30" fillId="7" borderId="40" xfId="0" applyFont="1" applyFill="1" applyBorder="1" applyAlignment="1">
      <alignment horizontal="center" vertical="center"/>
    </xf>
    <xf numFmtId="0" fontId="32" fillId="7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 wrapText="1"/>
    </xf>
    <xf numFmtId="0" fontId="32" fillId="7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0" fontId="34" fillId="12" borderId="40" xfId="0" applyFont="1" applyFill="1" applyBorder="1" applyAlignment="1">
      <alignment horizontal="center" vertical="center" wrapText="1"/>
    </xf>
    <xf numFmtId="0" fontId="33" fillId="13" borderId="40" xfId="0" applyFont="1" applyFill="1" applyBorder="1" applyAlignment="1">
      <alignment horizontal="center" vertical="center"/>
    </xf>
    <xf numFmtId="0" fontId="34" fillId="55" borderId="40" xfId="0" applyFont="1" applyFill="1" applyBorder="1" applyAlignment="1">
      <alignment horizontal="center" vertical="center" wrapText="1"/>
    </xf>
    <xf numFmtId="0" fontId="33" fillId="12" borderId="40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33" fillId="11" borderId="40" xfId="0" applyFont="1" applyFill="1" applyBorder="1" applyAlignment="1">
      <alignment horizontal="center" vertical="center"/>
    </xf>
    <xf numFmtId="0" fontId="33" fillId="9" borderId="40" xfId="0" applyFont="1" applyFill="1" applyBorder="1" applyAlignment="1">
      <alignment horizontal="center" vertical="center"/>
    </xf>
    <xf numFmtId="0" fontId="34" fillId="56" borderId="40" xfId="0" applyFont="1" applyFill="1" applyBorder="1" applyAlignment="1">
      <alignment horizontal="center" vertical="center" wrapText="1"/>
    </xf>
    <xf numFmtId="0" fontId="36" fillId="57" borderId="40" xfId="0" applyFont="1" applyFill="1" applyBorder="1" applyAlignment="1">
      <alignment horizontal="center" vertical="center"/>
    </xf>
    <xf numFmtId="0" fontId="33" fillId="14" borderId="40" xfId="0" applyFont="1" applyFill="1" applyBorder="1" applyAlignment="1">
      <alignment horizontal="center" vertical="center"/>
    </xf>
    <xf numFmtId="0" fontId="34" fillId="58" borderId="40" xfId="0" applyFont="1" applyFill="1" applyBorder="1" applyAlignment="1">
      <alignment horizontal="center" vertical="center" wrapText="1"/>
    </xf>
    <xf numFmtId="0" fontId="35" fillId="59" borderId="40" xfId="0" applyFont="1" applyFill="1" applyBorder="1" applyAlignment="1">
      <alignment horizontal="center" vertical="center" wrapText="1"/>
    </xf>
    <xf numFmtId="0" fontId="34" fillId="10" borderId="40" xfId="0" applyFont="1" applyFill="1" applyBorder="1" applyAlignment="1">
      <alignment horizontal="center" vertical="center" wrapText="1"/>
    </xf>
    <xf numFmtId="0" fontId="33" fillId="2" borderId="40" xfId="0" applyFont="1" applyFill="1" applyBorder="1" applyAlignment="1">
      <alignment horizontal="center" vertical="center"/>
    </xf>
    <xf numFmtId="0" fontId="29" fillId="58" borderId="41" xfId="0" applyFont="1" applyFill="1" applyBorder="1" applyAlignment="1">
      <alignment horizontal="left" vertical="center"/>
    </xf>
    <xf numFmtId="0" fontId="31" fillId="58" borderId="40" xfId="0" applyFont="1" applyFill="1" applyBorder="1" applyAlignment="1">
      <alignment horizontal="left" vertical="center" wrapText="1"/>
    </xf>
    <xf numFmtId="0" fontId="34" fillId="8" borderId="40" xfId="0" applyFont="1" applyFill="1" applyBorder="1" applyAlignment="1">
      <alignment horizontal="center" vertical="center" wrapText="1"/>
    </xf>
    <xf numFmtId="0" fontId="33" fillId="18" borderId="40" xfId="0" applyFont="1" applyFill="1" applyBorder="1" applyAlignment="1">
      <alignment horizontal="center" vertical="center"/>
    </xf>
    <xf numFmtId="0" fontId="33" fillId="17" borderId="40" xfId="0" applyFont="1" applyFill="1" applyBorder="1" applyAlignment="1">
      <alignment horizontal="center" vertical="center"/>
    </xf>
    <xf numFmtId="0" fontId="33" fillId="3" borderId="40" xfId="0" applyFont="1" applyFill="1" applyBorder="1" applyAlignment="1">
      <alignment horizontal="center" vertical="center"/>
    </xf>
    <xf numFmtId="0" fontId="29" fillId="53" borderId="41" xfId="0" applyFont="1" applyFill="1" applyBorder="1" applyAlignment="1">
      <alignment horizontal="left" vertical="center"/>
    </xf>
    <xf numFmtId="0" fontId="31" fillId="53" borderId="40" xfId="0" applyFont="1" applyFill="1" applyBorder="1" applyAlignment="1">
      <alignment horizontal="left" vertical="center" wrapText="1"/>
    </xf>
    <xf numFmtId="0" fontId="33" fillId="19" borderId="40" xfId="0" applyFont="1" applyFill="1" applyBorder="1" applyAlignment="1">
      <alignment horizontal="center" vertical="center"/>
    </xf>
    <xf numFmtId="0" fontId="33" fillId="20" borderId="40" xfId="0" applyFont="1" applyFill="1" applyBorder="1" applyAlignment="1">
      <alignment horizontal="center" vertical="center"/>
    </xf>
    <xf numFmtId="0" fontId="29" fillId="15" borderId="41" xfId="0" applyFont="1" applyFill="1" applyBorder="1" applyAlignment="1">
      <alignment horizontal="left" vertical="center"/>
    </xf>
    <xf numFmtId="0" fontId="31" fillId="15" borderId="40" xfId="0" applyFont="1" applyFill="1" applyBorder="1" applyAlignment="1">
      <alignment horizontal="left" vertical="center" wrapText="1"/>
    </xf>
    <xf numFmtId="0" fontId="33" fillId="21" borderId="40" xfId="0" applyFont="1" applyFill="1" applyBorder="1" applyAlignment="1">
      <alignment horizontal="center" vertical="center"/>
    </xf>
    <xf numFmtId="0" fontId="29" fillId="12" borderId="41" xfId="0" applyFont="1" applyFill="1" applyBorder="1" applyAlignment="1">
      <alignment horizontal="left" vertical="center"/>
    </xf>
    <xf numFmtId="0" fontId="31" fillId="12" borderId="40" xfId="0" applyFont="1" applyFill="1" applyBorder="1" applyAlignment="1">
      <alignment horizontal="left" vertical="center" wrapText="1"/>
    </xf>
    <xf numFmtId="0" fontId="33" fillId="22" borderId="40" xfId="0" applyFont="1" applyFill="1" applyBorder="1" applyAlignment="1">
      <alignment horizontal="center" vertical="center"/>
    </xf>
    <xf numFmtId="0" fontId="1" fillId="41" borderId="45" xfId="0" applyFont="1" applyFill="1" applyBorder="1" applyAlignment="1">
      <alignment horizontal="left" vertical="center"/>
    </xf>
    <xf numFmtId="164" fontId="1" fillId="41" borderId="45" xfId="0" applyNumberFormat="1" applyFont="1" applyFill="1" applyBorder="1" applyAlignment="1">
      <alignment horizontal="center" vertical="center"/>
    </xf>
    <xf numFmtId="164" fontId="1" fillId="36" borderId="45" xfId="0" applyNumberFormat="1" applyFont="1" applyFill="1" applyBorder="1" applyAlignment="1">
      <alignment horizontal="center" vertical="center"/>
    </xf>
    <xf numFmtId="164" fontId="1" fillId="37" borderId="45" xfId="0" applyNumberFormat="1" applyFont="1" applyFill="1" applyBorder="1" applyAlignment="1">
      <alignment horizontal="center" vertical="center"/>
    </xf>
    <xf numFmtId="164" fontId="1" fillId="38" borderId="45" xfId="0" applyNumberFormat="1" applyFont="1" applyFill="1" applyBorder="1" applyAlignment="1">
      <alignment horizontal="center" vertical="center"/>
    </xf>
    <xf numFmtId="164" fontId="1" fillId="40" borderId="45" xfId="0" applyNumberFormat="1" applyFont="1" applyFill="1" applyBorder="1" applyAlignment="1">
      <alignment horizontal="center" vertical="center"/>
    </xf>
    <xf numFmtId="0" fontId="1" fillId="60" borderId="45" xfId="0" applyFont="1" applyFill="1" applyBorder="1" applyAlignment="1">
      <alignment horizontal="left" vertical="center"/>
    </xf>
    <xf numFmtId="0" fontId="1" fillId="24" borderId="2" xfId="0" applyFont="1" applyFill="1" applyBorder="1" applyAlignment="1">
      <alignment horizontal="center" vertical="center" wrapText="1"/>
    </xf>
    <xf numFmtId="0" fontId="1" fillId="23" borderId="45" xfId="0" applyFont="1" applyFill="1" applyBorder="1" applyAlignment="1">
      <alignment horizontal="left" vertical="center" wrapText="1"/>
    </xf>
    <xf numFmtId="164" fontId="1" fillId="23" borderId="45" xfId="0" applyNumberFormat="1" applyFont="1" applyFill="1" applyBorder="1" applyAlignment="1">
      <alignment horizontal="center" vertical="center" wrapText="1"/>
    </xf>
    <xf numFmtId="164" fontId="5" fillId="30" borderId="45" xfId="0" applyNumberFormat="1" applyFont="1" applyFill="1" applyBorder="1" applyAlignment="1">
      <alignment horizontal="center" vertical="center" wrapText="1"/>
    </xf>
    <xf numFmtId="164" fontId="6" fillId="31" borderId="45" xfId="0" applyNumberFormat="1" applyFont="1" applyFill="1" applyBorder="1" applyAlignment="1">
      <alignment horizontal="center" vertical="center" wrapText="1"/>
    </xf>
    <xf numFmtId="164" fontId="7" fillId="32" borderId="45" xfId="0" applyNumberFormat="1" applyFont="1" applyFill="1" applyBorder="1" applyAlignment="1">
      <alignment horizontal="center" vertical="center" wrapText="1"/>
    </xf>
    <xf numFmtId="164" fontId="8" fillId="33" borderId="45" xfId="0" applyNumberFormat="1" applyFont="1" applyFill="1" applyBorder="1" applyAlignment="1">
      <alignment horizontal="center" vertical="center" wrapText="1"/>
    </xf>
    <xf numFmtId="164" fontId="9" fillId="34" borderId="45" xfId="0" applyNumberFormat="1" applyFont="1" applyFill="1" applyBorder="1" applyAlignment="1">
      <alignment horizontal="center" vertical="center" wrapText="1"/>
    </xf>
    <xf numFmtId="0" fontId="38" fillId="35" borderId="45" xfId="0" applyFont="1" applyFill="1" applyBorder="1" applyAlignment="1">
      <alignment horizontal="left" vertical="center" wrapText="1"/>
    </xf>
    <xf numFmtId="0" fontId="4" fillId="25" borderId="3" xfId="0" applyFont="1" applyFill="1" applyBorder="1" applyAlignment="1">
      <alignment horizontal="left" vertical="center" wrapText="1"/>
    </xf>
    <xf numFmtId="164" fontId="1" fillId="23" borderId="3" xfId="0" applyNumberFormat="1" applyFont="1" applyFill="1" applyBorder="1" applyAlignment="1">
      <alignment horizontal="center" vertical="center" wrapText="1"/>
    </xf>
    <xf numFmtId="164" fontId="39" fillId="30" borderId="3" xfId="0" applyNumberFormat="1" applyFont="1" applyFill="1" applyBorder="1" applyAlignment="1">
      <alignment horizontal="center" vertical="center" wrapText="1"/>
    </xf>
    <xf numFmtId="164" fontId="40" fillId="31" borderId="3" xfId="0" applyNumberFormat="1" applyFont="1" applyFill="1" applyBorder="1" applyAlignment="1">
      <alignment horizontal="center" vertical="center" wrapText="1"/>
    </xf>
    <xf numFmtId="164" fontId="41" fillId="32" borderId="3" xfId="0" applyNumberFormat="1" applyFont="1" applyFill="1" applyBorder="1" applyAlignment="1">
      <alignment horizontal="center" vertical="center" wrapText="1"/>
    </xf>
    <xf numFmtId="164" fontId="42" fillId="33" borderId="3" xfId="0" applyNumberFormat="1" applyFont="1" applyFill="1" applyBorder="1" applyAlignment="1">
      <alignment horizontal="center" vertical="center" wrapText="1"/>
    </xf>
    <xf numFmtId="164" fontId="43" fillId="34" borderId="3" xfId="0" applyNumberFormat="1" applyFont="1" applyFill="1" applyBorder="1" applyAlignment="1">
      <alignment horizontal="center" vertical="center" wrapText="1"/>
    </xf>
    <xf numFmtId="164" fontId="1" fillId="23" borderId="1" xfId="0" applyNumberFormat="1" applyFont="1" applyFill="1" applyBorder="1" applyAlignment="1">
      <alignment horizontal="center" vertical="center" wrapText="1"/>
    </xf>
    <xf numFmtId="164" fontId="39" fillId="30" borderId="1" xfId="0" applyNumberFormat="1" applyFont="1" applyFill="1" applyBorder="1" applyAlignment="1">
      <alignment horizontal="center" vertical="center" wrapText="1"/>
    </xf>
    <xf numFmtId="164" fontId="40" fillId="31" borderId="1" xfId="0" applyNumberFormat="1" applyFont="1" applyFill="1" applyBorder="1" applyAlignment="1">
      <alignment horizontal="center" vertical="center" wrapText="1"/>
    </xf>
    <xf numFmtId="164" fontId="41" fillId="32" borderId="1" xfId="0" applyNumberFormat="1" applyFont="1" applyFill="1" applyBorder="1" applyAlignment="1">
      <alignment horizontal="center" vertical="center" wrapText="1"/>
    </xf>
    <xf numFmtId="164" fontId="42" fillId="33" borderId="1" xfId="0" applyNumberFormat="1" applyFont="1" applyFill="1" applyBorder="1" applyAlignment="1">
      <alignment horizontal="center" vertical="center" wrapText="1"/>
    </xf>
    <xf numFmtId="164" fontId="43" fillId="34" borderId="1" xfId="0" applyNumberFormat="1" applyFont="1" applyFill="1" applyBorder="1" applyAlignment="1">
      <alignment horizontal="center" vertical="center" wrapText="1"/>
    </xf>
    <xf numFmtId="164" fontId="1" fillId="23" borderId="2" xfId="0" applyNumberFormat="1" applyFont="1" applyFill="1" applyBorder="1" applyAlignment="1">
      <alignment horizontal="center" vertical="center" wrapText="1"/>
    </xf>
    <xf numFmtId="164" fontId="39" fillId="30" borderId="2" xfId="0" applyNumberFormat="1" applyFont="1" applyFill="1" applyBorder="1" applyAlignment="1">
      <alignment horizontal="center" vertical="center" wrapText="1"/>
    </xf>
    <xf numFmtId="164" fontId="40" fillId="31" borderId="2" xfId="0" applyNumberFormat="1" applyFont="1" applyFill="1" applyBorder="1" applyAlignment="1">
      <alignment horizontal="center" vertical="center" wrapText="1"/>
    </xf>
    <xf numFmtId="164" fontId="41" fillId="32" borderId="2" xfId="0" applyNumberFormat="1" applyFont="1" applyFill="1" applyBorder="1" applyAlignment="1">
      <alignment horizontal="center" vertical="center" wrapText="1"/>
    </xf>
    <xf numFmtId="164" fontId="42" fillId="33" borderId="2" xfId="0" applyNumberFormat="1" applyFont="1" applyFill="1" applyBorder="1" applyAlignment="1">
      <alignment horizontal="center" vertical="center" wrapText="1"/>
    </xf>
    <xf numFmtId="164" fontId="43" fillId="34" borderId="2" xfId="0" applyNumberFormat="1" applyFont="1" applyFill="1" applyBorder="1" applyAlignment="1">
      <alignment horizontal="center" vertical="center" wrapText="1"/>
    </xf>
    <xf numFmtId="0" fontId="1" fillId="42" borderId="45" xfId="0" applyFont="1" applyFill="1" applyBorder="1" applyAlignment="1">
      <alignment horizontal="left" vertical="center" wrapText="1"/>
    </xf>
    <xf numFmtId="0" fontId="1" fillId="43" borderId="45" xfId="0" applyFont="1" applyFill="1" applyBorder="1" applyAlignment="1">
      <alignment horizontal="left" vertical="center" wrapText="1"/>
    </xf>
    <xf numFmtId="0" fontId="1" fillId="44" borderId="45" xfId="0" applyFont="1" applyFill="1" applyBorder="1" applyAlignment="1">
      <alignment horizontal="left" vertical="center" wrapText="1"/>
    </xf>
    <xf numFmtId="0" fontId="1" fillId="45" borderId="45" xfId="0" applyFont="1" applyFill="1" applyBorder="1" applyAlignment="1">
      <alignment horizontal="left" vertical="center" wrapText="1"/>
    </xf>
    <xf numFmtId="0" fontId="1" fillId="41" borderId="45" xfId="0" applyFont="1" applyFill="1" applyBorder="1" applyAlignment="1">
      <alignment horizontal="left" vertical="center" wrapText="1"/>
    </xf>
    <xf numFmtId="164" fontId="1" fillId="41" borderId="45" xfId="0" applyNumberFormat="1" applyFont="1" applyFill="1" applyBorder="1" applyAlignment="1">
      <alignment horizontal="center" vertical="center" wrapText="1"/>
    </xf>
    <xf numFmtId="164" fontId="1" fillId="36" borderId="45" xfId="0" applyNumberFormat="1" applyFont="1" applyFill="1" applyBorder="1" applyAlignment="1">
      <alignment horizontal="center" vertical="center" wrapText="1"/>
    </xf>
    <xf numFmtId="164" fontId="1" fillId="37" borderId="45" xfId="0" applyNumberFormat="1" applyFont="1" applyFill="1" applyBorder="1" applyAlignment="1">
      <alignment horizontal="center" vertical="center" wrapText="1"/>
    </xf>
    <xf numFmtId="164" fontId="1" fillId="38" borderId="45" xfId="0" applyNumberFormat="1" applyFont="1" applyFill="1" applyBorder="1" applyAlignment="1">
      <alignment horizontal="center" vertical="center" wrapText="1"/>
    </xf>
    <xf numFmtId="164" fontId="1" fillId="39" borderId="45" xfId="0" applyNumberFormat="1" applyFont="1" applyFill="1" applyBorder="1" applyAlignment="1">
      <alignment horizontal="center" vertical="center" wrapText="1"/>
    </xf>
    <xf numFmtId="164" fontId="1" fillId="40" borderId="45" xfId="0" applyNumberFormat="1" applyFont="1" applyFill="1" applyBorder="1" applyAlignment="1">
      <alignment horizontal="center" vertical="center" wrapText="1"/>
    </xf>
    <xf numFmtId="0" fontId="1" fillId="60" borderId="45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left" vertical="center" wrapText="1"/>
    </xf>
    <xf numFmtId="0" fontId="44" fillId="61" borderId="1" xfId="0" applyFont="1" applyFill="1" applyBorder="1" applyAlignment="1">
      <alignment horizontal="left" vertical="center" wrapText="1"/>
    </xf>
    <xf numFmtId="0" fontId="1" fillId="23" borderId="2" xfId="0" applyFont="1" applyFill="1" applyBorder="1" applyAlignment="1">
      <alignment horizontal="left" vertical="center" wrapText="1"/>
    </xf>
    <xf numFmtId="0" fontId="44" fillId="61" borderId="2" xfId="0" applyFont="1" applyFill="1" applyBorder="1" applyAlignment="1">
      <alignment horizontal="left" vertical="center" wrapText="1"/>
    </xf>
    <xf numFmtId="0" fontId="1" fillId="60" borderId="45" xfId="0" applyFont="1" applyFill="1" applyBorder="1" applyAlignment="1">
      <alignment horizontal="center" vertical="center"/>
    </xf>
    <xf numFmtId="0" fontId="1" fillId="24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left" vertical="center"/>
    </xf>
    <xf numFmtId="0" fontId="17" fillId="50" borderId="4" xfId="0" applyFont="1" applyFill="1" applyBorder="1" applyAlignment="1">
      <alignment vertical="center"/>
    </xf>
    <xf numFmtId="0" fontId="6" fillId="31" borderId="4" xfId="0" applyFont="1" applyFill="1" applyBorder="1" applyAlignment="1">
      <alignment horizontal="center" vertical="center"/>
    </xf>
    <xf numFmtId="0" fontId="8" fillId="33" borderId="4" xfId="0" applyFont="1" applyFill="1" applyBorder="1" applyAlignment="1">
      <alignment horizontal="center" vertical="center"/>
    </xf>
    <xf numFmtId="14" fontId="17" fillId="50" borderId="4" xfId="0" applyNumberFormat="1" applyFont="1" applyFill="1" applyBorder="1" applyAlignment="1">
      <alignment vertical="center"/>
    </xf>
    <xf numFmtId="0" fontId="46" fillId="61" borderId="4" xfId="0" applyFont="1" applyFill="1" applyBorder="1" applyAlignment="1">
      <alignment horizontal="center" vertical="center"/>
    </xf>
    <xf numFmtId="0" fontId="7" fillId="32" borderId="4" xfId="0" applyFont="1" applyFill="1" applyBorder="1" applyAlignment="1">
      <alignment horizontal="center" vertical="center"/>
    </xf>
    <xf numFmtId="0" fontId="45" fillId="50" borderId="4" xfId="0" applyFont="1" applyFill="1" applyBorder="1" applyAlignment="1">
      <alignment horizontal="left" vertical="center"/>
    </xf>
    <xf numFmtId="0" fontId="9" fillId="34" borderId="4" xfId="0" applyFont="1" applyFill="1" applyBorder="1" applyAlignment="1">
      <alignment horizontal="center" vertical="center"/>
    </xf>
    <xf numFmtId="0" fontId="5" fillId="30" borderId="4" xfId="0" applyFont="1" applyFill="1" applyBorder="1" applyAlignment="1">
      <alignment horizontal="center" vertical="center"/>
    </xf>
    <xf numFmtId="0" fontId="37" fillId="62" borderId="4" xfId="0" applyFont="1" applyFill="1" applyBorder="1" applyAlignment="1">
      <alignment horizontal="center" vertical="center"/>
    </xf>
    <xf numFmtId="0" fontId="11" fillId="26" borderId="4" xfId="0" applyFont="1" applyFill="1" applyBorder="1" applyAlignment="1">
      <alignment horizontal="left" vertical="center"/>
    </xf>
    <xf numFmtId="0" fontId="8" fillId="63" borderId="4" xfId="0" applyFont="1" applyFill="1" applyBorder="1" applyAlignment="1">
      <alignment horizontal="center" vertical="center"/>
    </xf>
    <xf numFmtId="0" fontId="12" fillId="27" borderId="4" xfId="0" applyFont="1" applyFill="1" applyBorder="1" applyAlignment="1">
      <alignment horizontal="left" vertical="center"/>
    </xf>
    <xf numFmtId="0" fontId="13" fillId="28" borderId="4" xfId="0" applyFont="1" applyFill="1" applyBorder="1" applyAlignment="1">
      <alignment horizontal="left" vertical="center"/>
    </xf>
    <xf numFmtId="0" fontId="14" fillId="29" borderId="4" xfId="0" applyFont="1" applyFill="1" applyBorder="1" applyAlignment="1">
      <alignment horizontal="left" vertical="center"/>
    </xf>
    <xf numFmtId="0" fontId="1" fillId="23" borderId="4" xfId="0" applyFont="1" applyFill="1" applyBorder="1" applyAlignment="1">
      <alignment horizontal="left" vertical="center"/>
    </xf>
    <xf numFmtId="0" fontId="1" fillId="42" borderId="4" xfId="0" applyFont="1" applyFill="1" applyBorder="1" applyAlignment="1">
      <alignment horizontal="left" vertical="center"/>
    </xf>
    <xf numFmtId="0" fontId="1" fillId="43" borderId="4" xfId="0" applyFont="1" applyFill="1" applyBorder="1" applyAlignment="1">
      <alignment horizontal="left" vertical="center"/>
    </xf>
    <xf numFmtId="0" fontId="1" fillId="45" borderId="4" xfId="0" applyFont="1" applyFill="1" applyBorder="1" applyAlignment="1">
      <alignment horizontal="left" vertical="center"/>
    </xf>
    <xf numFmtId="0" fontId="1" fillId="44" borderId="4" xfId="0" applyFont="1" applyFill="1" applyBorder="1" applyAlignment="1">
      <alignment horizontal="left" vertical="center"/>
    </xf>
    <xf numFmtId="1" fontId="26" fillId="50" borderId="27" xfId="0" applyNumberFormat="1" applyFont="1" applyFill="1" applyBorder="1" applyAlignment="1">
      <alignment horizontal="center" vertical="center"/>
    </xf>
    <xf numFmtId="1" fontId="26" fillId="51" borderId="27" xfId="0" applyNumberFormat="1" applyFont="1" applyFill="1" applyBorder="1" applyAlignment="1">
      <alignment horizontal="center" vertical="center"/>
    </xf>
    <xf numFmtId="1" fontId="26" fillId="50" borderId="28" xfId="0" applyNumberFormat="1" applyFont="1" applyFill="1" applyBorder="1" applyAlignment="1">
      <alignment horizontal="center" vertical="center"/>
    </xf>
    <xf numFmtId="0" fontId="47" fillId="50" borderId="0" xfId="0" applyFont="1" applyFill="1" applyAlignment="1">
      <alignment horizontal="center"/>
    </xf>
    <xf numFmtId="0" fontId="48" fillId="67" borderId="0" xfId="0" applyFont="1" applyFill="1" applyAlignment="1">
      <alignment horizontal="center"/>
    </xf>
    <xf numFmtId="0" fontId="51" fillId="0" borderId="0" xfId="0" applyFont="1"/>
    <xf numFmtId="0" fontId="52" fillId="0" borderId="0" xfId="0" applyFont="1" applyAlignment="1">
      <alignment horizontal="center"/>
    </xf>
    <xf numFmtId="0" fontId="53" fillId="49" borderId="0" xfId="0" applyFont="1" applyFill="1" applyAlignment="1">
      <alignment horizontal="center"/>
    </xf>
    <xf numFmtId="0" fontId="54" fillId="64" borderId="0" xfId="0" applyFont="1" applyFill="1" applyAlignment="1">
      <alignment horizontal="center"/>
    </xf>
    <xf numFmtId="165" fontId="54" fillId="64" borderId="0" xfId="0" applyNumberFormat="1" applyFont="1" applyFill="1" applyAlignment="1">
      <alignment horizontal="center"/>
    </xf>
    <xf numFmtId="0" fontId="1" fillId="65" borderId="0" xfId="0" applyFont="1" applyFill="1" applyAlignment="1">
      <alignment horizontal="center"/>
    </xf>
    <xf numFmtId="0" fontId="15" fillId="0" borderId="54" xfId="0" applyFont="1" applyBorder="1" applyAlignment="1">
      <alignment horizontal="center"/>
    </xf>
    <xf numFmtId="0" fontId="15" fillId="0" borderId="55" xfId="0" applyFont="1" applyBorder="1" applyAlignment="1">
      <alignment horizontal="left"/>
    </xf>
    <xf numFmtId="167" fontId="15" fillId="0" borderId="55" xfId="0" applyNumberFormat="1" applyFont="1" applyBorder="1" applyAlignment="1">
      <alignment horizontal="center"/>
    </xf>
    <xf numFmtId="165" fontId="15" fillId="0" borderId="56" xfId="0" applyNumberFormat="1" applyFont="1" applyBorder="1" applyAlignment="1">
      <alignment horizontal="center"/>
    </xf>
    <xf numFmtId="0" fontId="15" fillId="0" borderId="51" xfId="0" applyFont="1" applyBorder="1" applyAlignment="1">
      <alignment horizontal="center"/>
    </xf>
    <xf numFmtId="0" fontId="15" fillId="0" borderId="52" xfId="0" applyFont="1" applyBorder="1" applyAlignment="1">
      <alignment horizontal="left"/>
    </xf>
    <xf numFmtId="167" fontId="15" fillId="0" borderId="52" xfId="0" applyNumberFormat="1" applyFont="1" applyBorder="1" applyAlignment="1">
      <alignment horizontal="center"/>
    </xf>
    <xf numFmtId="165" fontId="15" fillId="0" borderId="53" xfId="0" applyNumberFormat="1" applyFont="1" applyBorder="1" applyAlignment="1">
      <alignment horizontal="center"/>
    </xf>
    <xf numFmtId="0" fontId="15" fillId="0" borderId="57" xfId="0" applyFont="1" applyBorder="1" applyAlignment="1">
      <alignment horizontal="center"/>
    </xf>
    <xf numFmtId="0" fontId="15" fillId="0" borderId="58" xfId="0" applyFont="1" applyBorder="1" applyAlignment="1">
      <alignment horizontal="left"/>
    </xf>
    <xf numFmtId="167" fontId="15" fillId="0" borderId="58" xfId="0" applyNumberFormat="1" applyFont="1" applyBorder="1" applyAlignment="1">
      <alignment horizontal="center"/>
    </xf>
    <xf numFmtId="165" fontId="15" fillId="0" borderId="59" xfId="0" applyNumberFormat="1" applyFont="1" applyBorder="1" applyAlignment="1">
      <alignment horizontal="center"/>
    </xf>
    <xf numFmtId="0" fontId="1" fillId="50" borderId="0" xfId="0" applyFont="1" applyFill="1" applyAlignment="1">
      <alignment horizontal="center"/>
    </xf>
    <xf numFmtId="0" fontId="56" fillId="50" borderId="6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6" fillId="51" borderId="6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6" fillId="50" borderId="2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7" fillId="50" borderId="17" xfId="0" applyFont="1" applyFill="1" applyBorder="1" applyAlignment="1">
      <alignment horizontal="left"/>
    </xf>
    <xf numFmtId="0" fontId="57" fillId="51" borderId="17" xfId="0" applyFont="1" applyFill="1" applyBorder="1" applyAlignment="1">
      <alignment horizontal="left"/>
    </xf>
    <xf numFmtId="0" fontId="57" fillId="50" borderId="18" xfId="0" applyFont="1" applyFill="1" applyBorder="1" applyAlignment="1">
      <alignment horizontal="left"/>
    </xf>
    <xf numFmtId="0" fontId="16" fillId="50" borderId="0" xfId="0" applyFont="1" applyFill="1"/>
    <xf numFmtId="0" fontId="55" fillId="0" borderId="0" xfId="0" applyFont="1" applyAlignment="1">
      <alignment wrapText="1"/>
    </xf>
    <xf numFmtId="0" fontId="22" fillId="50" borderId="6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51" borderId="6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50" borderId="2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8" fillId="50" borderId="17" xfId="0" applyFont="1" applyFill="1" applyBorder="1" applyAlignment="1">
      <alignment horizontal="left"/>
    </xf>
    <xf numFmtId="0" fontId="58" fillId="51" borderId="17" xfId="0" applyFont="1" applyFill="1" applyBorder="1" applyAlignment="1">
      <alignment horizontal="left"/>
    </xf>
    <xf numFmtId="0" fontId="58" fillId="50" borderId="18" xfId="0" applyFont="1" applyFill="1" applyBorder="1" applyAlignment="1">
      <alignment horizontal="left"/>
    </xf>
    <xf numFmtId="0" fontId="27" fillId="47" borderId="9" xfId="0" applyFont="1" applyFill="1" applyBorder="1" applyAlignment="1">
      <alignment horizontal="center" vertical="center"/>
    </xf>
    <xf numFmtId="0" fontId="27" fillId="47" borderId="8" xfId="0" applyFont="1" applyFill="1" applyBorder="1" applyAlignment="1">
      <alignment horizontal="center" vertical="center"/>
    </xf>
    <xf numFmtId="0" fontId="27" fillId="47" borderId="10" xfId="0" applyFont="1" applyFill="1" applyBorder="1" applyAlignment="1">
      <alignment horizontal="center" vertical="center"/>
    </xf>
    <xf numFmtId="0" fontId="21" fillId="48" borderId="13" xfId="0" applyFont="1" applyFill="1" applyBorder="1" applyAlignment="1">
      <alignment horizontal="center" vertical="center"/>
    </xf>
    <xf numFmtId="0" fontId="21" fillId="48" borderId="12" xfId="0" applyFont="1" applyFill="1" applyBorder="1" applyAlignment="1">
      <alignment horizontal="center" vertical="center"/>
    </xf>
    <xf numFmtId="0" fontId="21" fillId="48" borderId="14" xfId="0" applyFont="1" applyFill="1" applyBorder="1" applyAlignment="1">
      <alignment horizontal="center" vertical="center"/>
    </xf>
    <xf numFmtId="0" fontId="19" fillId="49" borderId="63" xfId="0" applyFont="1" applyFill="1" applyBorder="1" applyAlignment="1">
      <alignment horizontal="center" vertical="center"/>
    </xf>
    <xf numFmtId="0" fontId="19" fillId="49" borderId="64" xfId="0" applyFont="1" applyFill="1" applyBorder="1" applyAlignment="1">
      <alignment horizontal="center" vertical="center"/>
    </xf>
    <xf numFmtId="0" fontId="19" fillId="47" borderId="16" xfId="0" applyFont="1" applyFill="1" applyBorder="1" applyAlignment="1">
      <alignment horizontal="center" vertical="center"/>
    </xf>
    <xf numFmtId="0" fontId="19" fillId="47" borderId="11" xfId="0" applyFont="1" applyFill="1" applyBorder="1" applyAlignment="1">
      <alignment horizontal="center" vertical="center"/>
    </xf>
    <xf numFmtId="0" fontId="19" fillId="47" borderId="19" xfId="0" applyFont="1" applyFill="1" applyBorder="1" applyAlignment="1">
      <alignment horizontal="center" vertical="center"/>
    </xf>
    <xf numFmtId="0" fontId="19" fillId="47" borderId="0" xfId="0" applyFont="1" applyFill="1" applyAlignment="1">
      <alignment horizontal="center"/>
    </xf>
    <xf numFmtId="0" fontId="50" fillId="66" borderId="0" xfId="0" applyFont="1" applyFill="1" applyAlignment="1">
      <alignment horizontal="left"/>
    </xf>
    <xf numFmtId="0" fontId="19" fillId="47" borderId="60" xfId="0" applyFont="1" applyFill="1" applyBorder="1" applyAlignment="1">
      <alignment horizontal="center" vertical="center"/>
    </xf>
    <xf numFmtId="0" fontId="19" fillId="47" borderId="61" xfId="0" applyFont="1" applyFill="1" applyBorder="1" applyAlignment="1">
      <alignment horizontal="center" vertical="center"/>
    </xf>
    <xf numFmtId="0" fontId="19" fillId="47" borderId="62" xfId="0" applyFont="1" applyFill="1" applyBorder="1" applyAlignment="1">
      <alignment horizontal="center" vertical="center"/>
    </xf>
    <xf numFmtId="0" fontId="19" fillId="47" borderId="13" xfId="0" applyFont="1" applyFill="1" applyBorder="1" applyAlignment="1">
      <alignment horizontal="center" vertical="center"/>
    </xf>
    <xf numFmtId="0" fontId="19" fillId="47" borderId="12" xfId="0" applyFont="1" applyFill="1" applyBorder="1" applyAlignment="1">
      <alignment horizontal="center" vertical="center"/>
    </xf>
    <xf numFmtId="0" fontId="19" fillId="47" borderId="14" xfId="0" applyFont="1" applyFill="1" applyBorder="1" applyAlignment="1">
      <alignment horizontal="center" vertical="center"/>
    </xf>
    <xf numFmtId="0" fontId="18" fillId="49" borderId="0" xfId="0" applyFont="1" applyFill="1" applyAlignment="1">
      <alignment horizontal="center"/>
    </xf>
    <xf numFmtId="0" fontId="55" fillId="0" borderId="0" xfId="0" applyFont="1" applyAlignment="1">
      <alignment horizontal="left" vertical="top" wrapText="1"/>
    </xf>
    <xf numFmtId="0" fontId="1" fillId="49" borderId="0" xfId="0" applyFont="1" applyFill="1" applyAlignment="1">
      <alignment horizontal="center"/>
    </xf>
    <xf numFmtId="0" fontId="2" fillId="49" borderId="16" xfId="0" applyFont="1" applyFill="1" applyBorder="1" applyAlignment="1">
      <alignment horizontal="center"/>
    </xf>
    <xf numFmtId="0" fontId="0" fillId="0" borderId="19" xfId="0" applyBorder="1"/>
    <xf numFmtId="0" fontId="49" fillId="47" borderId="0" xfId="0" applyFont="1" applyFill="1" applyAlignment="1">
      <alignment horizontal="left"/>
    </xf>
    <xf numFmtId="0" fontId="54" fillId="64" borderId="0" xfId="0" applyFont="1" applyFill="1" applyAlignment="1">
      <alignment horizontal="center"/>
    </xf>
    <xf numFmtId="0" fontId="53" fillId="49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45" borderId="46" xfId="0" applyFont="1" applyFill="1" applyBorder="1" applyAlignment="1">
      <alignment horizontal="center" vertical="center" wrapText="1"/>
    </xf>
    <xf numFmtId="0" fontId="1" fillId="45" borderId="47" xfId="0" applyFont="1" applyFill="1" applyBorder="1" applyAlignment="1">
      <alignment horizontal="center" vertical="center" wrapText="1"/>
    </xf>
    <xf numFmtId="0" fontId="1" fillId="45" borderId="48" xfId="0" applyFont="1" applyFill="1" applyBorder="1" applyAlignment="1">
      <alignment horizontal="center" vertical="center" wrapText="1"/>
    </xf>
    <xf numFmtId="0" fontId="1" fillId="23" borderId="43" xfId="0" applyFont="1" applyFill="1" applyBorder="1" applyAlignment="1">
      <alignment horizontal="center" vertical="center"/>
    </xf>
    <xf numFmtId="0" fontId="1" fillId="23" borderId="42" xfId="0" applyFont="1" applyFill="1" applyBorder="1" applyAlignment="1">
      <alignment horizontal="center" vertical="center"/>
    </xf>
    <xf numFmtId="0" fontId="1" fillId="23" borderId="44" xfId="0" applyFont="1" applyFill="1" applyBorder="1" applyAlignment="1">
      <alignment horizontal="center" vertical="center"/>
    </xf>
    <xf numFmtId="0" fontId="1" fillId="23" borderId="46" xfId="0" applyFont="1" applyFill="1" applyBorder="1" applyAlignment="1">
      <alignment horizontal="center" vertical="center" wrapText="1"/>
    </xf>
    <xf numFmtId="0" fontId="1" fillId="23" borderId="47" xfId="0" applyFont="1" applyFill="1" applyBorder="1" applyAlignment="1">
      <alignment horizontal="center" vertical="center" wrapText="1"/>
    </xf>
    <xf numFmtId="0" fontId="1" fillId="23" borderId="48" xfId="0" applyFont="1" applyFill="1" applyBorder="1" applyAlignment="1">
      <alignment horizontal="center" vertical="center" wrapText="1"/>
    </xf>
    <xf numFmtId="0" fontId="1" fillId="42" borderId="46" xfId="0" applyFont="1" applyFill="1" applyBorder="1" applyAlignment="1">
      <alignment horizontal="center" vertical="center" wrapText="1"/>
    </xf>
    <xf numFmtId="0" fontId="1" fillId="42" borderId="47" xfId="0" applyFont="1" applyFill="1" applyBorder="1" applyAlignment="1">
      <alignment horizontal="center" vertical="center" wrapText="1"/>
    </xf>
    <xf numFmtId="0" fontId="1" fillId="42" borderId="48" xfId="0" applyFont="1" applyFill="1" applyBorder="1" applyAlignment="1">
      <alignment horizontal="center" vertical="center" wrapText="1"/>
    </xf>
    <xf numFmtId="0" fontId="1" fillId="43" borderId="46" xfId="0" applyFont="1" applyFill="1" applyBorder="1" applyAlignment="1">
      <alignment horizontal="center" vertical="center" wrapText="1"/>
    </xf>
    <xf numFmtId="0" fontId="1" fillId="43" borderId="47" xfId="0" applyFont="1" applyFill="1" applyBorder="1" applyAlignment="1">
      <alignment horizontal="center" vertical="center" wrapText="1"/>
    </xf>
    <xf numFmtId="0" fontId="1" fillId="43" borderId="48" xfId="0" applyFont="1" applyFill="1" applyBorder="1" applyAlignment="1">
      <alignment horizontal="center" vertical="center" wrapText="1"/>
    </xf>
    <xf numFmtId="0" fontId="1" fillId="44" borderId="46" xfId="0" applyFont="1" applyFill="1" applyBorder="1" applyAlignment="1">
      <alignment horizontal="center" vertical="center" wrapText="1"/>
    </xf>
    <xf numFmtId="0" fontId="1" fillId="44" borderId="47" xfId="0" applyFont="1" applyFill="1" applyBorder="1" applyAlignment="1">
      <alignment horizontal="center" vertical="center" wrapText="1"/>
    </xf>
    <xf numFmtId="0" fontId="1" fillId="44" borderId="48" xfId="0" applyFont="1" applyFill="1" applyBorder="1" applyAlignment="1">
      <alignment horizontal="center" vertical="center" wrapText="1"/>
    </xf>
    <xf numFmtId="0" fontId="1" fillId="23" borderId="49" xfId="0" applyFont="1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 wrapText="1"/>
    </xf>
    <xf numFmtId="0" fontId="1" fillId="23" borderId="50" xfId="0" applyFont="1" applyFill="1" applyBorder="1" applyAlignment="1">
      <alignment horizontal="center" vertical="center" wrapText="1"/>
    </xf>
    <xf numFmtId="0" fontId="1" fillId="23" borderId="4" xfId="0" applyFont="1" applyFill="1" applyBorder="1" applyAlignment="1">
      <alignment horizontal="center" vertical="center"/>
    </xf>
    <xf numFmtId="0" fontId="1" fillId="42" borderId="4" xfId="0" applyFont="1" applyFill="1" applyBorder="1" applyAlignment="1">
      <alignment horizontal="center" vertical="center"/>
    </xf>
    <xf numFmtId="0" fontId="1" fillId="43" borderId="4" xfId="0" applyFont="1" applyFill="1" applyBorder="1" applyAlignment="1">
      <alignment horizontal="center" vertical="center"/>
    </xf>
    <xf numFmtId="0" fontId="1" fillId="44" borderId="4" xfId="0" applyFont="1" applyFill="1" applyBorder="1" applyAlignment="1">
      <alignment horizontal="center" vertical="center"/>
    </xf>
    <xf numFmtId="0" fontId="1" fillId="4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Répartition par thématique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C2D12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FE-42C4-B8F2-5395D7002923}"/>
              </c:ext>
            </c:extLst>
          </c:dPt>
          <c:dPt>
            <c:idx val="1"/>
            <c:bubble3D val="0"/>
            <c:spPr>
              <a:solidFill>
                <a:srgbClr val="C2410C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FE-42C4-B8F2-5395D7002923}"/>
              </c:ext>
            </c:extLst>
          </c:dPt>
          <c:dPt>
            <c:idx val="2"/>
            <c:bubble3D val="0"/>
            <c:spPr>
              <a:solidFill>
                <a:srgbClr val="EA580C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FE-42C4-B8F2-5395D7002923}"/>
              </c:ext>
            </c:extLst>
          </c:dPt>
          <c:dPt>
            <c:idx val="3"/>
            <c:bubble3D val="0"/>
            <c:spPr>
              <a:solidFill>
                <a:srgbClr val="F97316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5EFE-42C4-B8F2-5395D7002923}"/>
              </c:ext>
            </c:extLst>
          </c:dPt>
          <c:dPt>
            <c:idx val="4"/>
            <c:bubble3D val="0"/>
            <c:spPr>
              <a:solidFill>
                <a:srgbClr val="FB923C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FE-42C4-B8F2-5395D70029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Dashboard'!$A$35:$A$39</c:f>
              <c:strCache>
                <c:ptCount val="5"/>
                <c:pt idx="0">
                  <c:v>Environmental Tech &amp; Digital Mining</c:v>
                </c:pt>
                <c:pt idx="1">
                  <c:v>Mineral Processing &amp; Strategic Synthesis</c:v>
                </c:pt>
                <c:pt idx="2">
                  <c:v>Circular Chemistry &amp; Waste Valorization</c:v>
                </c:pt>
                <c:pt idx="3">
                  <c:v>Green Agriculture &amp; Biotechnology</c:v>
                </c:pt>
                <c:pt idx="4">
                  <c:v>Sustainable Energy Storage &amp; Management</c:v>
                </c:pt>
              </c:strCache>
            </c:strRef>
          </c:cat>
          <c:val>
            <c:numRef>
              <c:f>'📊 Dashboard'!$B$35:$B$39</c:f>
              <c:numCache>
                <c:formatCode>#,##0</c:formatCode>
                <c:ptCount val="5"/>
                <c:pt idx="0">
                  <c:v>161</c:v>
                </c:pt>
                <c:pt idx="1">
                  <c:v>101</c:v>
                </c:pt>
                <c:pt idx="2">
                  <c:v>49</c:v>
                </c:pt>
                <c:pt idx="3">
                  <c:v>51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E-42C4-B8F2-5395D7002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rgbClr val="FFFFFF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Century Gothic" panose="020B0502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Répartition par statut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C2D12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D2-430F-AFC7-6309627D5462}"/>
              </c:ext>
            </c:extLst>
          </c:dPt>
          <c:dPt>
            <c:idx val="1"/>
            <c:bubble3D val="0"/>
            <c:spPr>
              <a:solidFill>
                <a:srgbClr val="C2410C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9DD2-430F-AFC7-6309627D5462}"/>
              </c:ext>
            </c:extLst>
          </c:dPt>
          <c:dPt>
            <c:idx val="2"/>
            <c:bubble3D val="0"/>
            <c:spPr>
              <a:solidFill>
                <a:srgbClr val="EA580C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D2-430F-AFC7-6309627D5462}"/>
              </c:ext>
            </c:extLst>
          </c:dPt>
          <c:dPt>
            <c:idx val="3"/>
            <c:bubble3D val="0"/>
            <c:spPr>
              <a:solidFill>
                <a:srgbClr val="F97316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DD2-430F-AFC7-6309627D5462}"/>
              </c:ext>
            </c:extLst>
          </c:dPt>
          <c:dPt>
            <c:idx val="4"/>
            <c:bubble3D val="0"/>
            <c:spPr>
              <a:solidFill>
                <a:srgbClr val="FB923C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D2-430F-AFC7-6309627D5462}"/>
              </c:ext>
            </c:extLst>
          </c:dPt>
          <c:dPt>
            <c:idx val="5"/>
            <c:bubble3D val="0"/>
            <c:spPr>
              <a:solidFill>
                <a:srgbClr val="FDBA74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9DD2-430F-AFC7-6309627D5462}"/>
              </c:ext>
            </c:extLst>
          </c:dPt>
          <c:dPt>
            <c:idx val="6"/>
            <c:bubble3D val="0"/>
            <c:spPr>
              <a:solidFill>
                <a:srgbClr val="FED7AA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D2-430F-AFC7-6309627D5462}"/>
              </c:ext>
            </c:extLst>
          </c:dPt>
          <c:dPt>
            <c:idx val="7"/>
            <c:bubble3D val="0"/>
            <c:spPr>
              <a:solidFill>
                <a:srgbClr val="FFEDD5"/>
              </a:solidFill>
              <a:ln w="254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9DD2-430F-AFC7-6309627D54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Dashboard'!$I$35:$I$42</c:f>
              <c:strCache>
                <c:ptCount val="8"/>
                <c:pt idx="0">
                  <c:v>🔵 Maintenu / En phase nationale</c:v>
                </c:pt>
                <c:pt idx="1">
                  <c:v>✅ Délivré / Actif</c:v>
                </c:pt>
                <c:pt idx="2">
                  <c:v>🟡 OMPIC – En cours / Publié</c:v>
                </c:pt>
                <c:pt idx="3">
                  <c:v>🔴 Abandonné / Inactif</c:v>
                </c:pt>
                <c:pt idx="4">
                  <c:v>🌐 PCT international</c:v>
                </c:pt>
                <c:pt idx="5">
                  <c:v>⚫ Expiré</c:v>
                </c:pt>
                <c:pt idx="6">
                  <c:v>⚪ Non renseigné</c:v>
                </c:pt>
                <c:pt idx="7">
                  <c:v>Autres (Rejeté / Examen / À vérifier)</c:v>
                </c:pt>
              </c:strCache>
            </c:strRef>
          </c:cat>
          <c:val>
            <c:numRef>
              <c:f>'📊 Dashboard'!$J$35:$J$42</c:f>
              <c:numCache>
                <c:formatCode>#,##0</c:formatCode>
                <c:ptCount val="8"/>
                <c:pt idx="0">
                  <c:v>121</c:v>
                </c:pt>
                <c:pt idx="1">
                  <c:v>51</c:v>
                </c:pt>
                <c:pt idx="2">
                  <c:v>56</c:v>
                </c:pt>
                <c:pt idx="3">
                  <c:v>44</c:v>
                </c:pt>
                <c:pt idx="4">
                  <c:v>26</c:v>
                </c:pt>
                <c:pt idx="5">
                  <c:v>13</c:v>
                </c:pt>
                <c:pt idx="6">
                  <c:v>70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2-430F-AFC7-6309627D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rgbClr val="FFFFFF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Century Gothic" panose="020B0502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Évolution annuelle par thématique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'📊 Dashboard'!$B$52</c:f>
              <c:strCache>
                <c:ptCount val="1"/>
                <c:pt idx="0">
                  <c:v>Env. Tech &amp; Digital</c:v>
                </c:pt>
              </c:strCache>
            </c:strRef>
          </c:tx>
          <c:spPr>
            <a:solidFill>
              <a:srgbClr val="7C2D12"/>
            </a:solidFill>
            <a:ln>
              <a:solidFill>
                <a:srgbClr val="7C2D12"/>
              </a:solidFill>
              <a:prstDash val="solid"/>
            </a:ln>
            <a:effectLst/>
          </c:spPr>
          <c:cat>
            <c:numRef>
              <c:f>'📊 Dashboard'!$A$53:$A$69</c:f>
              <c:numCache>
                <c:formatCode>0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'📊 Dashboard'!$B$53:$B$69</c:f>
              <c:numCache>
                <c:formatCode>#\ ##0;\-#\ ##0;\-</c:formatCode>
                <c:ptCount val="17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14</c:v>
                </c:pt>
                <c:pt idx="6">
                  <c:v>11</c:v>
                </c:pt>
                <c:pt idx="7">
                  <c:v>9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6-4CA8-9F76-36567EFA5ABB}"/>
            </c:ext>
          </c:extLst>
        </c:ser>
        <c:ser>
          <c:idx val="1"/>
          <c:order val="1"/>
          <c:tx>
            <c:strRef>
              <c:f>'📊 Dashboard'!$C$52</c:f>
              <c:strCache>
                <c:ptCount val="1"/>
                <c:pt idx="0">
                  <c:v>Mineral Proc.</c:v>
                </c:pt>
              </c:strCache>
            </c:strRef>
          </c:tx>
          <c:spPr>
            <a:solidFill>
              <a:srgbClr val="C2410C"/>
            </a:solidFill>
            <a:ln>
              <a:solidFill>
                <a:srgbClr val="C2410C"/>
              </a:solidFill>
              <a:prstDash val="solid"/>
            </a:ln>
            <a:effectLst/>
          </c:spPr>
          <c:cat>
            <c:numRef>
              <c:f>'📊 Dashboard'!$A$53:$A$69</c:f>
              <c:numCache>
                <c:formatCode>0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'📊 Dashboard'!$C$53:$C$69</c:f>
              <c:numCache>
                <c:formatCode>#\ ##0;\-#\ ##0;\-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6-4CA8-9F76-36567EFA5ABB}"/>
            </c:ext>
          </c:extLst>
        </c:ser>
        <c:ser>
          <c:idx val="2"/>
          <c:order val="2"/>
          <c:tx>
            <c:strRef>
              <c:f>'📊 Dashboard'!$D$52</c:f>
              <c:strCache>
                <c:ptCount val="1"/>
                <c:pt idx="0">
                  <c:v>Circular Chem.</c:v>
                </c:pt>
              </c:strCache>
            </c:strRef>
          </c:tx>
          <c:spPr>
            <a:solidFill>
              <a:srgbClr val="EA580C"/>
            </a:solidFill>
            <a:ln>
              <a:solidFill>
                <a:srgbClr val="EA580C"/>
              </a:solidFill>
              <a:prstDash val="solid"/>
            </a:ln>
            <a:effectLst/>
          </c:spPr>
          <c:cat>
            <c:numRef>
              <c:f>'📊 Dashboard'!$A$53:$A$69</c:f>
              <c:numCache>
                <c:formatCode>0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'📊 Dashboard'!$D$53:$D$69</c:f>
              <c:numCache>
                <c:formatCode>#\ ##0;\-#\ ##0;\-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8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6-4CA8-9F76-36567EFA5ABB}"/>
            </c:ext>
          </c:extLst>
        </c:ser>
        <c:ser>
          <c:idx val="3"/>
          <c:order val="3"/>
          <c:tx>
            <c:strRef>
              <c:f>'📊 Dashboard'!$E$52</c:f>
              <c:strCache>
                <c:ptCount val="1"/>
                <c:pt idx="0">
                  <c:v>Green Agri.</c:v>
                </c:pt>
              </c:strCache>
            </c:strRef>
          </c:tx>
          <c:spPr>
            <a:solidFill>
              <a:srgbClr val="F97316"/>
            </a:solidFill>
            <a:ln>
              <a:solidFill>
                <a:srgbClr val="F97316"/>
              </a:solidFill>
              <a:prstDash val="solid"/>
            </a:ln>
            <a:effectLst/>
          </c:spPr>
          <c:cat>
            <c:numRef>
              <c:f>'📊 Dashboard'!$A$53:$A$69</c:f>
              <c:numCache>
                <c:formatCode>0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'📊 Dashboard'!$E$53:$E$69</c:f>
              <c:numCache>
                <c:formatCode>#\ ##0;\-#\ ##0;\-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4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6-4CA8-9F76-36567EFA5ABB}"/>
            </c:ext>
          </c:extLst>
        </c:ser>
        <c:ser>
          <c:idx val="4"/>
          <c:order val="4"/>
          <c:tx>
            <c:strRef>
              <c:f>'📊 Dashboard'!$F$52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B923C"/>
            </a:solidFill>
            <a:ln>
              <a:solidFill>
                <a:srgbClr val="FB923C"/>
              </a:solidFill>
              <a:prstDash val="solid"/>
            </a:ln>
            <a:effectLst/>
          </c:spPr>
          <c:cat>
            <c:numRef>
              <c:f>'📊 Dashboard'!$A$53:$A$69</c:f>
              <c:numCache>
                <c:formatCode>0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'📊 Dashboard'!$F$53:$F$69</c:f>
              <c:numCache>
                <c:formatCode>#\ ##0;\-#\ ##0;\-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6-4CA8-9F76-36567EFA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743392"/>
        <c:axId val="1571743872"/>
      </c:areaChart>
      <c:catAx>
        <c:axId val="15717433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FR"/>
          </a:p>
        </c:txPr>
        <c:crossAx val="1571743872"/>
        <c:crosses val="autoZero"/>
        <c:auto val="1"/>
        <c:lblAlgn val="ctr"/>
        <c:lblOffset val="100"/>
        <c:noMultiLvlLbl val="0"/>
      </c:catAx>
      <c:valAx>
        <c:axId val="15717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-#\ ##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FR"/>
          </a:p>
        </c:txPr>
        <c:crossAx val="1571743392"/>
        <c:crosses val="autoZero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Century Gothic" panose="020B0502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TOP 20 sous-thématiques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Dashboard'!$C$72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C2410C"/>
            </a:solidFill>
            <a:ln>
              <a:solidFill>
                <a:srgbClr val="7C2D12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Dashboard'!$B$73:$B$92</c:f>
              <c:strCache>
                <c:ptCount val="20"/>
                <c:pt idx="0">
                  <c:v>Purification/démétallisation de l’acide phosphorique</c:v>
                </c:pt>
                <c:pt idx="1">
                  <c:v>Vision artificielle, trafic &amp; inspection</c:v>
                </c:pt>
                <c:pt idx="2">
                  <c:v>Valorisation du phosphogypse</c:v>
                </c:pt>
                <c:pt idx="3">
                  <c:v>Ferrites, nanomatériaux magnétiques &amp; magnétocaloriques</c:v>
                </c:pt>
                <c:pt idx="4">
                  <c:v>Diagnostic moléculaire &amp; kits qPCR/LAMP</c:v>
                </c:pt>
                <c:pt idx="5">
                  <c:v>Récupération terres rares, uranium &amp; métaux critiques</c:v>
                </c:pt>
                <c:pt idx="6">
                  <c:v>Fertilisants phosphatés &amp; sels de phosphate</c:v>
                </c:pt>
                <c:pt idx="7">
                  <c:v>Biomasse, biopolymères &amp; matériaux biosourcés</c:v>
                </c:pt>
                <c:pt idx="8">
                  <c:v>Microalgues, macroalgues &amp; extraits végétaux bioactifs</c:v>
                </c:pt>
                <c:pt idx="9">
                  <c:v>Matériaux composites, verre &amp; catalyseurs</c:v>
                </c:pt>
                <c:pt idx="10">
                  <c:v>Matériaux cathodiques &amp; électrodes pour batteries Li/Na</c:v>
                </c:pt>
                <c:pt idx="11">
                  <c:v>Biofertilisants, biostimulants &amp; enrobage d’engrais</c:v>
                </c:pt>
                <c:pt idx="12">
                  <c:v>Électronique embarquée, RFID &amp; IoT</c:v>
                </c:pt>
                <c:pt idx="13">
                  <c:v>Composites recyclés, plastiques &amp; pneus</c:v>
                </c:pt>
                <c:pt idx="14">
                  <c:v>Batteries intelligentes, diagnostic &amp; gestion thermique</c:v>
                </c:pt>
                <c:pt idx="15">
                  <c:v>Capteurs, électronique &amp; systèmes intelligents</c:v>
                </c:pt>
                <c:pt idx="16">
                  <c:v>Flottation &amp; enrichissement des minerais</c:v>
                </c:pt>
                <c:pt idx="17">
                  <c:v>Équipements miniers, échantillonnage &amp; séparation solide-liquide</c:v>
                </c:pt>
                <c:pt idx="18">
                  <c:v>Procédés thermiques, calcination &amp; traitement à sec</c:v>
                </c:pt>
                <c:pt idx="19">
                  <c:v>Stockage thermique &amp; matériaux céramiques</c:v>
                </c:pt>
              </c:strCache>
            </c:strRef>
          </c:cat>
          <c:val>
            <c:numRef>
              <c:f>'📊 Dashboard'!$C$73:$C$92</c:f>
              <c:numCache>
                <c:formatCode>#,##0</c:formatCode>
                <c:ptCount val="20"/>
                <c:pt idx="0">
                  <c:v>19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8-4C6C-A6B8-946AB95B5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458085120"/>
        <c:axId val="1458085600"/>
      </c:barChart>
      <c:catAx>
        <c:axId val="14580851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FR"/>
          </a:p>
        </c:txPr>
        <c:crossAx val="1458085600"/>
        <c:crosses val="autoZero"/>
        <c:auto val="1"/>
        <c:lblAlgn val="ctr"/>
        <c:lblOffset val="100"/>
        <c:noMultiLvlLbl val="0"/>
      </c:catAx>
      <c:valAx>
        <c:axId val="1458085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FR"/>
          </a:p>
        </c:txPr>
        <c:crossAx val="145808512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entury Gothic" panose="020B0502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/>
              <a:t>TOP 20 pays par couverture brevets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'BREVETS PAR PAYS DASHBOARD'!$C$19</c:f>
              <c:strCache>
                <c:ptCount val="1"/>
                <c:pt idx="0">
                  <c:v>Nombre dépôts</c:v>
                </c:pt>
              </c:strCache>
            </c:strRef>
          </c:tx>
          <c:spPr>
            <a:solidFill>
              <a:srgbClr val="EA580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'BREVETS PAR PAYS DASHBOARD'!$B$20:$B$39</c:f>
              <c:strCache>
                <c:ptCount val="20"/>
                <c:pt idx="0">
                  <c:v>Maroc</c:v>
                </c:pt>
                <c:pt idx="1">
                  <c:v>Russia</c:v>
                </c:pt>
                <c:pt idx="2">
                  <c:v>China</c:v>
                </c:pt>
                <c:pt idx="3">
                  <c:v>United States</c:v>
                </c:pt>
                <c:pt idx="4">
                  <c:v>France</c:v>
                </c:pt>
                <c:pt idx="5">
                  <c:v>WIPO</c:v>
                </c:pt>
                <c:pt idx="6">
                  <c:v>EPO</c:v>
                </c:pt>
                <c:pt idx="7">
                  <c:v>OAPI</c:v>
                </c:pt>
                <c:pt idx="8">
                  <c:v>India</c:v>
                </c:pt>
                <c:pt idx="9">
                  <c:v>Germany</c:v>
                </c:pt>
                <c:pt idx="10">
                  <c:v>Brazil</c:v>
                </c:pt>
                <c:pt idx="11">
                  <c:v>Mexico</c:v>
                </c:pt>
                <c:pt idx="12">
                  <c:v>Japan</c:v>
                </c:pt>
                <c:pt idx="13">
                  <c:v>Spain</c:v>
                </c:pt>
                <c:pt idx="14">
                  <c:v>South Africa</c:v>
                </c:pt>
                <c:pt idx="15">
                  <c:v>Jordanien</c:v>
                </c:pt>
                <c:pt idx="16">
                  <c:v>Israel</c:v>
                </c:pt>
                <c:pt idx="17">
                  <c:v>Great Britain</c:v>
                </c:pt>
                <c:pt idx="18">
                  <c:v>Canada</c:v>
                </c:pt>
                <c:pt idx="19">
                  <c:v>Switzerland</c:v>
                </c:pt>
              </c:strCache>
            </c:strRef>
          </c:cat>
          <c:val>
            <c:numRef>
              <c:f>'BREVETS PAR PAYS DASHBOARD'!$C$20:$C$39</c:f>
              <c:numCache>
                <c:formatCode>#\ ##0;\-#\ ##0;\-</c:formatCode>
                <c:ptCount val="20"/>
                <c:pt idx="0">
                  <c:v>175</c:v>
                </c:pt>
                <c:pt idx="1">
                  <c:v>25</c:v>
                </c:pt>
                <c:pt idx="2">
                  <c:v>17</c:v>
                </c:pt>
                <c:pt idx="3">
                  <c:v>16</c:v>
                </c:pt>
                <c:pt idx="4">
                  <c:v>16</c:v>
                </c:pt>
                <c:pt idx="5">
                  <c:v>12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3-4D8B-B43E-B77FF49A3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413664"/>
        <c:axId val="313412224"/>
      </c:barChart>
      <c:catAx>
        <c:axId val="313413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FR"/>
          </a:p>
        </c:txPr>
        <c:crossAx val="313412224"/>
        <c:crosses val="autoZero"/>
        <c:auto val="1"/>
        <c:lblAlgn val="ctr"/>
        <c:lblOffset val="100"/>
        <c:noMultiLvlLbl val="0"/>
      </c:catAx>
      <c:valAx>
        <c:axId val="31341222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-#\ ##0;\-" sourceLinked="1"/>
        <c:majorTickMark val="none"/>
        <c:minorTickMark val="none"/>
        <c:tickLblPos val="nextTo"/>
        <c:crossAx val="3134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entury Gothic" panose="020B0502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870858</xdr:colOff>
      <xdr:row>101</xdr:row>
      <xdr:rowOff>72572</xdr:rowOff>
    </xdr:from>
    <xdr:to>
      <xdr:col>4</xdr:col>
      <xdr:colOff>1596571</xdr:colOff>
      <xdr:row>125</xdr:row>
      <xdr:rowOff>72573</xdr:rowOff>
    </xdr:to>
    <xdr:graphicFrame macro="">
      <xdr:nvGraphicFramePr>
        <xdr:cNvPr id="14" name="ChartTheme">
          <a:extLst>
            <a:ext uri="{FF2B5EF4-FFF2-40B4-BE49-F238E27FC236}">
              <a16:creationId xmlns:a16="http://schemas.microsoft.com/office/drawing/2014/main" id="{FE38DD43-DF85-1E25-3236-3C4EE8832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1741714</xdr:colOff>
      <xdr:row>101</xdr:row>
      <xdr:rowOff>54430</xdr:rowOff>
    </xdr:from>
    <xdr:to>
      <xdr:col>8</xdr:col>
      <xdr:colOff>3338285</xdr:colOff>
      <xdr:row>125</xdr:row>
      <xdr:rowOff>54431</xdr:rowOff>
    </xdr:to>
    <xdr:graphicFrame macro="">
      <xdr:nvGraphicFramePr>
        <xdr:cNvPr id="15" name="ChartStatus">
          <a:extLst>
            <a:ext uri="{FF2B5EF4-FFF2-40B4-BE49-F238E27FC236}">
              <a16:creationId xmlns:a16="http://schemas.microsoft.com/office/drawing/2014/main" id="{67F4EB79-51C8-9DFF-187B-9E926ABEC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798287</xdr:colOff>
      <xdr:row>125</xdr:row>
      <xdr:rowOff>199573</xdr:rowOff>
    </xdr:from>
    <xdr:to>
      <xdr:col>4</xdr:col>
      <xdr:colOff>1560287</xdr:colOff>
      <xdr:row>149</xdr:row>
      <xdr:rowOff>268153</xdr:rowOff>
    </xdr:to>
    <xdr:graphicFrame macro="">
      <xdr:nvGraphicFramePr>
        <xdr:cNvPr id="16" name="ChartYearArea">
          <a:extLst>
            <a:ext uri="{FF2B5EF4-FFF2-40B4-BE49-F238E27FC236}">
              <a16:creationId xmlns:a16="http://schemas.microsoft.com/office/drawing/2014/main" id="{C2AB50EA-878B-4E77-24AB-C08FFCBFA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1759858</xdr:colOff>
      <xdr:row>125</xdr:row>
      <xdr:rowOff>235857</xdr:rowOff>
    </xdr:from>
    <xdr:to>
      <xdr:col>8</xdr:col>
      <xdr:colOff>3338286</xdr:colOff>
      <xdr:row>149</xdr:row>
      <xdr:rowOff>253999</xdr:rowOff>
    </xdr:to>
    <xdr:graphicFrame macro="">
      <xdr:nvGraphicFramePr>
        <xdr:cNvPr id="17" name="ChartTopSousThemes">
          <a:extLst>
            <a:ext uri="{FF2B5EF4-FFF2-40B4-BE49-F238E27FC236}">
              <a16:creationId xmlns:a16="http://schemas.microsoft.com/office/drawing/2014/main" id="{3E633A44-7322-8A0C-3F1F-770C1A284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68239</xdr:colOff>
      <xdr:row>17</xdr:row>
      <xdr:rowOff>45492</xdr:rowOff>
    </xdr:from>
    <xdr:to>
      <xdr:col>9</xdr:col>
      <xdr:colOff>0</xdr:colOff>
      <xdr:row>42</xdr:row>
      <xdr:rowOff>90985</xdr:rowOff>
    </xdr:to>
    <xdr:graphicFrame macro="">
      <xdr:nvGraphicFramePr>
        <xdr:cNvPr id="3" name="ChartCountries">
          <a:extLst>
            <a:ext uri="{FF2B5EF4-FFF2-40B4-BE49-F238E27FC236}">
              <a16:creationId xmlns:a16="http://schemas.microsoft.com/office/drawing/2014/main" id="{1B29AED1-D171-DCEC-3CB8-A5135C839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6F5354-2B5F-409F-A545-6F9168FA173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2317e96-1706-45f1-9eb0-62cac5f280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B345-8AAF-4F6A-AE55-87F8A76709FF}">
  <sheetPr>
    <tabColor rgb="FF0B2447"/>
  </sheetPr>
  <dimension ref="A1:AA218"/>
  <sheetViews>
    <sheetView zoomScale="40" zoomScaleNormal="102" workbookViewId="0">
      <selection activeCell="B16" sqref="B16"/>
    </sheetView>
  </sheetViews>
  <sheetFormatPr baseColWidth="10" defaultColWidth="8.90625" defaultRowHeight="20.5" x14ac:dyDescent="0.4"/>
  <cols>
    <col min="1" max="1" width="66.36328125" style="22" bestFit="1" customWidth="1"/>
    <col min="2" max="2" width="98.453125" style="22" bestFit="1" customWidth="1"/>
    <col min="3" max="3" width="23.90625" style="22" bestFit="1" customWidth="1"/>
    <col min="4" max="4" width="26.08984375" style="22" bestFit="1" customWidth="1"/>
    <col min="5" max="5" width="60.453125" style="22" bestFit="1" customWidth="1"/>
    <col min="6" max="6" width="23.90625" style="22" bestFit="1" customWidth="1"/>
    <col min="7" max="7" width="28.6328125" style="22" bestFit="1" customWidth="1"/>
    <col min="8" max="8" width="91.90625" style="22" customWidth="1"/>
    <col min="9" max="9" width="54.453125" style="22" bestFit="1" customWidth="1"/>
    <col min="10" max="10" width="13.1796875" style="22" bestFit="1" customWidth="1"/>
    <col min="11" max="11" width="15.81640625" style="22" bestFit="1" customWidth="1"/>
    <col min="12" max="18" width="11.90625" style="22" customWidth="1"/>
    <col min="19" max="19" width="66.36328125" style="22" bestFit="1" customWidth="1"/>
    <col min="20" max="20" width="10.453125" style="22" bestFit="1" customWidth="1"/>
    <col min="21" max="21" width="43" style="22" bestFit="1" customWidth="1"/>
    <col min="22" max="22" width="98.453125" style="22" bestFit="1" customWidth="1"/>
    <col min="23" max="23" width="4.54296875" style="22" bestFit="1" customWidth="1"/>
    <col min="24" max="24" width="12.90625" style="22" bestFit="1" customWidth="1"/>
    <col min="25" max="25" width="189.453125" style="22" bestFit="1" customWidth="1"/>
    <col min="26" max="26" width="2.453125" style="22" bestFit="1" customWidth="1"/>
    <col min="27" max="27" width="11.1796875" style="22" bestFit="1" customWidth="1"/>
    <col min="28" max="28" width="0" style="22" hidden="1" customWidth="1"/>
    <col min="29" max="16384" width="8.90625" style="22"/>
  </cols>
  <sheetData>
    <row r="1" spans="1:27" ht="30" thickTop="1" thickBot="1" x14ac:dyDescent="0.45">
      <c r="A1" s="235" t="s">
        <v>1782</v>
      </c>
      <c r="B1" s="236"/>
      <c r="C1" s="236"/>
      <c r="D1" s="236"/>
      <c r="E1" s="236"/>
      <c r="F1" s="236"/>
      <c r="G1" s="236"/>
      <c r="H1" s="236"/>
      <c r="I1" s="236"/>
      <c r="J1" s="236"/>
      <c r="K1" s="237"/>
      <c r="L1" s="21"/>
      <c r="M1" s="21"/>
      <c r="N1" s="21"/>
      <c r="O1" s="21"/>
      <c r="P1" s="21"/>
      <c r="Q1" s="21"/>
      <c r="R1" s="21"/>
      <c r="S1" s="21" t="s">
        <v>1790</v>
      </c>
      <c r="T1" s="21" t="s">
        <v>1791</v>
      </c>
      <c r="U1" s="21" t="s">
        <v>1791</v>
      </c>
      <c r="V1" s="21" t="s">
        <v>1827</v>
      </c>
      <c r="W1" s="21" cm="1">
        <f t="array" ref="W1">SUMPRODUCT(('📋 Inventaire Complet'!$C$3:$C$517=$V1)*(($B$5="Tous")+('📋 Inventaire Complet'!$B$3:$B$517=$B$5)&gt;0)*(($E$5="Toutes")+(LEFT('📋 Inventaire Complet'!$J$3:$J$517,4)=$E$5&amp;"")&gt;0)*(($H$5="Toutes")+('📋 Inventaire Complet'!$F$3:$F$517=$H$5)&gt;0)*(LEN('📋 Inventaire Complet'!$D$3:$D$517)&gt;0)*(($K$5="Tous")+(ISNUMBER(SEARCH($K$5,'📋 Inventaire Complet'!$L$3:$L$517)))&gt;0))</f>
        <v>0</v>
      </c>
      <c r="X1" s="21">
        <f t="shared" ref="X1:X7" si="0">W1+ROW()/10000</f>
        <v>1E-4</v>
      </c>
      <c r="Y1" s="21" t="s">
        <v>73</v>
      </c>
      <c r="Z1" cm="1">
        <f t="array" ref="Z1">IF(Y1="",0,SUMPRODUCT(('📋 Inventaire Complet'!$E$3:$E$517=Y1)*((COUNTIF($B$6:$B$10,TRUE)=0)+ISNUMBER(IFERROR(MATCH('📋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" s="22">
        <f>IF(Y1="",0,Z1+ROW()/10000)</f>
        <v>1.0001</v>
      </c>
    </row>
    <row r="2" spans="1:27" ht="21" thickBot="1" x14ac:dyDescent="0.45">
      <c r="A2" s="238"/>
      <c r="B2" s="239"/>
      <c r="C2" s="239"/>
      <c r="D2" s="239"/>
      <c r="E2" s="239"/>
      <c r="F2" s="239"/>
      <c r="G2" s="239"/>
      <c r="H2" s="239"/>
      <c r="I2" s="239"/>
      <c r="J2" s="239"/>
      <c r="K2" s="240"/>
      <c r="L2" s="21"/>
      <c r="M2" s="21"/>
      <c r="N2" s="21"/>
      <c r="O2" s="21"/>
      <c r="P2" s="21"/>
      <c r="Q2" s="21"/>
      <c r="R2" s="21"/>
      <c r="S2" s="21" t="s">
        <v>19</v>
      </c>
      <c r="T2" s="21">
        <v>2010</v>
      </c>
      <c r="U2" s="21" t="s">
        <v>21</v>
      </c>
      <c r="V2" s="21" t="s">
        <v>1842</v>
      </c>
      <c r="W2" s="21" cm="1">
        <f t="array" ref="W2">SUMPRODUCT(('📋 Inventaire Complet'!$C$3:$C$517=$V2)*(($B$5="Tous")+('📋 Inventaire Complet'!$B$3:$B$517=$B$5)&gt;0)*(($E$5="Toutes")+(LEFT('📋 Inventaire Complet'!$J$3:$J$517,4)=$E$5&amp;"")&gt;0)*(($H$5="Toutes")+('📋 Inventaire Complet'!$F$3:$F$517=$H$5)&gt;0)*(LEN('📋 Inventaire Complet'!$D$3:$D$517)&gt;0)*(($K$5="Tous")+(ISNUMBER(SEARCH($K$5,'📋 Inventaire Complet'!$L$3:$L$517)))&gt;0))</f>
        <v>0</v>
      </c>
      <c r="X2" s="21">
        <f t="shared" si="0"/>
        <v>2.0000000000000001E-4</v>
      </c>
      <c r="Y2" s="21" t="s">
        <v>685</v>
      </c>
      <c r="Z2" cm="1">
        <f t="array" ref="Z2">IF(Y2="",0,SUMPRODUCT(('📋 Inventaire Complet'!$E$3:$E$517=Y2)*((COUNTIF($B$6:$B$10,TRUE)=0)+ISNUMBER(IFERROR(MATCH('📋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" s="22">
        <f t="shared" ref="AA2:AA65" si="1">IF(Y2="",0,Z2+ROW()/10000)</f>
        <v>1.0002</v>
      </c>
    </row>
    <row r="3" spans="1:27" x14ac:dyDescent="0.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 t="s">
        <v>831</v>
      </c>
      <c r="T3" s="21">
        <v>2011</v>
      </c>
      <c r="U3" s="21" t="s">
        <v>276</v>
      </c>
      <c r="V3" s="21" t="s">
        <v>1861</v>
      </c>
      <c r="W3" s="21" cm="1">
        <f t="array" ref="W3">SUMPRODUCT(('📋 Inventaire Complet'!$C$3:$C$517=$V3)*(($B$5="Tous")+('📋 Inventaire Complet'!$B$3:$B$517=$B$5)&gt;0)*(($E$5="Toutes")+(LEFT('📋 Inventaire Complet'!$J$3:$J$517,4)=$E$5&amp;"")&gt;0)*(($H$5="Toutes")+('📋 Inventaire Complet'!$F$3:$F$517=$H$5)&gt;0)*(LEN('📋 Inventaire Complet'!$D$3:$D$517)&gt;0)*(($K$5="Tous")+(ISNUMBER(SEARCH($K$5,'📋 Inventaire Complet'!$L$3:$L$517)))&gt;0))</f>
        <v>0</v>
      </c>
      <c r="X3" s="21">
        <f t="shared" si="0"/>
        <v>2.9999999999999997E-4</v>
      </c>
      <c r="Y3" s="21" t="s">
        <v>131</v>
      </c>
      <c r="Z3" cm="1">
        <f t="array" ref="Z3">IF(Y3="",0,SUMPRODUCT(('📋 Inventaire Complet'!$E$3:$E$517=Y3)*((COUNTIF($B$6:$B$10,TRUE)=0)+ISNUMBER(IFERROR(MATCH('📋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" s="22">
        <f t="shared" si="1"/>
        <v>1.0003</v>
      </c>
    </row>
    <row r="4" spans="1:27" ht="22" thickBot="1" x14ac:dyDescent="0.55000000000000004">
      <c r="A4" s="246" t="s">
        <v>2487</v>
      </c>
      <c r="B4" s="247"/>
      <c r="C4" s="247"/>
      <c r="D4" s="247"/>
      <c r="E4" s="247"/>
      <c r="F4" s="247"/>
      <c r="G4" s="247"/>
      <c r="H4" s="247"/>
      <c r="I4"/>
      <c r="J4"/>
      <c r="K4"/>
      <c r="L4"/>
      <c r="M4"/>
      <c r="N4"/>
      <c r="O4" s="21"/>
      <c r="P4" s="21"/>
      <c r="Q4" s="21"/>
      <c r="R4" s="21"/>
      <c r="S4" s="21" t="s">
        <v>1274</v>
      </c>
      <c r="T4" s="21">
        <v>2012</v>
      </c>
      <c r="U4" s="21" t="s">
        <v>874</v>
      </c>
      <c r="V4" s="21" t="s">
        <v>1885</v>
      </c>
      <c r="W4" s="21" cm="1">
        <f t="array" ref="W4">SUMPRODUCT(('📋 Inventaire Complet'!$C$3:$C$517=$V4)*(($B$5="Tous")+('📋 Inventaire Complet'!$B$3:$B$517=$B$5)&gt;0)*(($E$5="Toutes")+(LEFT('📋 Inventaire Complet'!$J$3:$J$517,4)=$E$5&amp;"")&gt;0)*(($H$5="Toutes")+('📋 Inventaire Complet'!$F$3:$F$517=$H$5)&gt;0)*(LEN('📋 Inventaire Complet'!$D$3:$D$517)&gt;0)*(($K$5="Tous")+(ISNUMBER(SEARCH($K$5,'📋 Inventaire Complet'!$L$3:$L$517)))&gt;0))</f>
        <v>0</v>
      </c>
      <c r="X4" s="21">
        <f t="shared" si="0"/>
        <v>4.0000000000000002E-4</v>
      </c>
      <c r="Y4" s="21" t="s">
        <v>83</v>
      </c>
      <c r="Z4" cm="1">
        <f t="array" ref="Z4">IF(Y4="",0,SUMPRODUCT(('📋 Inventaire Complet'!$E$3:$E$517=Y4)*((COUNTIF($B$6:$B$10,TRUE)=0)+ISNUMBER(IFERROR(MATCH('📋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" s="22">
        <f t="shared" si="1"/>
        <v>1.0004</v>
      </c>
    </row>
    <row r="5" spans="1:27" x14ac:dyDescent="0.4">
      <c r="A5" s="241" t="s">
        <v>1</v>
      </c>
      <c r="B5" s="242"/>
      <c r="C5" s="241" t="s">
        <v>9</v>
      </c>
      <c r="D5" s="242"/>
      <c r="E5" s="241" t="s">
        <v>5</v>
      </c>
      <c r="F5" s="242"/>
      <c r="G5" s="241" t="s">
        <v>1789</v>
      </c>
      <c r="H5" s="242"/>
      <c r="I5"/>
      <c r="J5" s="201" t="s">
        <v>2482</v>
      </c>
      <c r="K5" s="201" t="s">
        <v>2483</v>
      </c>
      <c r="L5"/>
      <c r="M5"/>
      <c r="N5"/>
      <c r="O5" s="21"/>
      <c r="P5" s="21"/>
      <c r="Q5" s="21"/>
      <c r="R5" s="21"/>
      <c r="S5" s="21" t="s">
        <v>1451</v>
      </c>
      <c r="T5" s="21">
        <v>2013</v>
      </c>
      <c r="U5" s="21" t="s">
        <v>93</v>
      </c>
      <c r="V5" s="21" t="s">
        <v>1903</v>
      </c>
      <c r="W5" s="21" cm="1">
        <f t="array" ref="W5">SUMPRODUCT(('📋 Inventaire Complet'!$C$3:$C$517=$V5)*(($B$5="Tous")+('📋 Inventaire Complet'!$B$3:$B$517=$B$5)&gt;0)*(($E$5="Toutes")+(LEFT('📋 Inventaire Complet'!$J$3:$J$517,4)=$E$5&amp;"")&gt;0)*(($H$5="Toutes")+('📋 Inventaire Complet'!$F$3:$F$517=$H$5)&gt;0)*(LEN('📋 Inventaire Complet'!$D$3:$D$517)&gt;0)*(($K$5="Tous")+(ISNUMBER(SEARCH($K$5,'📋 Inventaire Complet'!$L$3:$L$517)))&gt;0))</f>
        <v>0</v>
      </c>
      <c r="X5" s="21">
        <f t="shared" si="0"/>
        <v>5.0000000000000001E-4</v>
      </c>
      <c r="Y5" s="21" t="s">
        <v>88</v>
      </c>
      <c r="Z5" cm="1">
        <f t="array" ref="Z5">IF(Y5="",0,SUMPRODUCT(('📋 Inventaire Complet'!$E$3:$E$517=Y5)*((COUNTIF($B$6:$B$10,TRUE)=0)+ISNUMBER(IFERROR(MATCH('📋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" s="22">
        <f t="shared" si="1"/>
        <v>1.0004999999999999</v>
      </c>
    </row>
    <row r="6" spans="1:27" x14ac:dyDescent="0.4">
      <c r="A6" s="232" t="s">
        <v>19</v>
      </c>
      <c r="B6" s="229" t="b">
        <v>0</v>
      </c>
      <c r="C6" s="232">
        <v>2010</v>
      </c>
      <c r="D6" s="229" t="b">
        <v>0</v>
      </c>
      <c r="E6" s="232" t="s">
        <v>21</v>
      </c>
      <c r="F6" s="229" t="b">
        <v>0</v>
      </c>
      <c r="G6" s="232" t="s">
        <v>1718</v>
      </c>
      <c r="H6" s="229" t="b">
        <v>0</v>
      </c>
      <c r="I6"/>
      <c r="J6"/>
      <c r="K6"/>
      <c r="L6"/>
      <c r="M6"/>
      <c r="N6"/>
      <c r="O6" s="21"/>
      <c r="P6" s="21"/>
      <c r="Q6" s="21"/>
      <c r="R6" s="21"/>
      <c r="S6" s="21" t="s">
        <v>1617</v>
      </c>
      <c r="T6" s="21">
        <v>2014</v>
      </c>
      <c r="U6" s="21" t="s">
        <v>413</v>
      </c>
      <c r="V6" s="21" t="s">
        <v>1924</v>
      </c>
      <c r="W6" s="21" cm="1">
        <f t="array" ref="W6">SUMPRODUCT(('📋 Inventaire Complet'!$C$3:$C$517=$V6)*(($B$5="Tous")+('📋 Inventaire Complet'!$B$3:$B$517=$B$5)&gt;0)*(($E$5="Toutes")+(LEFT('📋 Inventaire Complet'!$J$3:$J$517,4)=$E$5&amp;"")&gt;0)*(($H$5="Toutes")+('📋 Inventaire Complet'!$F$3:$F$517=$H$5)&gt;0)*(LEN('📋 Inventaire Complet'!$D$3:$D$517)&gt;0)*(($K$5="Tous")+(ISNUMBER(SEARCH($K$5,'📋 Inventaire Complet'!$L$3:$L$517)))&gt;0))</f>
        <v>0</v>
      </c>
      <c r="X6" s="21">
        <f t="shared" si="0"/>
        <v>5.9999999999999995E-4</v>
      </c>
      <c r="Y6" s="21" t="s">
        <v>218</v>
      </c>
      <c r="Z6" cm="1">
        <f t="array" ref="Z6">IF(Y6="",0,SUMPRODUCT(('📋 Inventaire Complet'!$E$3:$E$517=Y6)*((COUNTIF($B$6:$B$10,TRUE)=0)+ISNUMBER(IFERROR(MATCH('📋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" s="22">
        <f t="shared" si="1"/>
        <v>1.0005999999999999</v>
      </c>
    </row>
    <row r="7" spans="1:27" x14ac:dyDescent="0.4">
      <c r="A7" s="233" t="s">
        <v>831</v>
      </c>
      <c r="B7" s="230" t="b">
        <v>0</v>
      </c>
      <c r="C7" s="233">
        <v>2011</v>
      </c>
      <c r="D7" s="230" t="b">
        <v>0</v>
      </c>
      <c r="E7" s="233" t="s">
        <v>1912</v>
      </c>
      <c r="F7" s="230" t="b">
        <v>0</v>
      </c>
      <c r="G7" s="233" t="s">
        <v>2484</v>
      </c>
      <c r="H7" s="230" t="b">
        <v>0</v>
      </c>
      <c r="I7"/>
      <c r="J7"/>
      <c r="K7"/>
      <c r="L7"/>
      <c r="M7"/>
      <c r="N7"/>
      <c r="O7" s="21"/>
      <c r="P7" s="21"/>
      <c r="Q7" s="21"/>
      <c r="R7" s="21"/>
      <c r="S7" s="21"/>
      <c r="T7" s="21">
        <v>2015</v>
      </c>
      <c r="U7" s="21" t="s">
        <v>76</v>
      </c>
      <c r="V7" s="21" t="s">
        <v>1926</v>
      </c>
      <c r="W7" s="21" cm="1">
        <f t="array" ref="W7">SUMPRODUCT(('📋 Inventaire Complet'!$C$3:$C$517=$V7)*(($B$5="Tous")+('📋 Inventaire Complet'!$B$3:$B$517=$B$5)&gt;0)*(($E$5="Toutes")+(LEFT('📋 Inventaire Complet'!$J$3:$J$517,4)=$E$5&amp;"")&gt;0)*(($H$5="Toutes")+('📋 Inventaire Complet'!$F$3:$F$517=$H$5)&gt;0)*(LEN('📋 Inventaire Complet'!$D$3:$D$517)&gt;0)*(($K$5="Tous")+(ISNUMBER(SEARCH($K$5,'📋 Inventaire Complet'!$L$3:$L$517)))&gt;0))</f>
        <v>0</v>
      </c>
      <c r="X7" s="21">
        <f t="shared" si="0"/>
        <v>6.9999999999999999E-4</v>
      </c>
      <c r="Y7" s="21" t="s">
        <v>99</v>
      </c>
      <c r="Z7" cm="1">
        <f t="array" ref="Z7">IF(Y7="",0,SUMPRODUCT(('📋 Inventaire Complet'!$E$3:$E$517=Y7)*((COUNTIF($B$6:$B$10,TRUE)=0)+ISNUMBER(IFERROR(MATCH('📋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" s="22">
        <f t="shared" si="1"/>
        <v>1.0006999999999999</v>
      </c>
    </row>
    <row r="8" spans="1:27" x14ac:dyDescent="0.4">
      <c r="A8" s="232" t="s">
        <v>1274</v>
      </c>
      <c r="B8" s="229" t="b">
        <v>0</v>
      </c>
      <c r="C8" s="232">
        <v>2012</v>
      </c>
      <c r="D8" s="229" t="b">
        <v>0</v>
      </c>
      <c r="E8" s="232" t="s">
        <v>874</v>
      </c>
      <c r="F8" s="229" t="b">
        <v>0</v>
      </c>
      <c r="G8" s="232" t="s">
        <v>106</v>
      </c>
      <c r="H8" s="229" t="b">
        <v>0</v>
      </c>
      <c r="I8"/>
      <c r="J8"/>
      <c r="K8"/>
      <c r="L8"/>
      <c r="M8"/>
      <c r="N8"/>
      <c r="O8" s="21"/>
      <c r="P8" s="21"/>
      <c r="Q8" s="21"/>
      <c r="R8" s="21"/>
      <c r="S8" s="21"/>
      <c r="T8" s="21"/>
      <c r="U8" s="21"/>
      <c r="V8" s="21"/>
      <c r="W8" s="21"/>
      <c r="X8" s="21"/>
      <c r="Y8" s="21" t="s">
        <v>514</v>
      </c>
      <c r="Z8" cm="1">
        <f t="array" ref="Z8">IF(Y8="",0,SUMPRODUCT(('📋 Inventaire Complet'!$E$3:$E$517=Y8)*((COUNTIF($B$6:$B$10,TRUE)=0)+ISNUMBER(IFERROR(MATCH('📋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" s="22">
        <f t="shared" si="1"/>
        <v>1.0007999999999999</v>
      </c>
    </row>
    <row r="9" spans="1:27" x14ac:dyDescent="0.4">
      <c r="A9" s="233" t="s">
        <v>1451</v>
      </c>
      <c r="B9" s="230" t="b">
        <v>0</v>
      </c>
      <c r="C9" s="233">
        <v>2013</v>
      </c>
      <c r="D9" s="230" t="b">
        <v>0</v>
      </c>
      <c r="E9" s="233" t="s">
        <v>93</v>
      </c>
      <c r="F9" s="230" t="b">
        <v>0</v>
      </c>
      <c r="G9" s="233" t="s">
        <v>2485</v>
      </c>
      <c r="H9" s="230" t="b">
        <v>0</v>
      </c>
      <c r="I9"/>
      <c r="J9"/>
      <c r="K9"/>
      <c r="L9"/>
      <c r="M9"/>
      <c r="N9"/>
      <c r="O9" s="21"/>
      <c r="P9" s="21"/>
      <c r="Q9" s="21"/>
      <c r="R9" s="21"/>
      <c r="S9" s="21"/>
      <c r="T9" s="21"/>
      <c r="U9" s="21"/>
      <c r="V9" s="21"/>
      <c r="W9" s="21"/>
      <c r="X9" s="21"/>
      <c r="Y9" s="21" t="s">
        <v>423</v>
      </c>
      <c r="Z9" cm="1">
        <f t="array" ref="Z9">IF(Y9="",0,SUMPRODUCT(('📋 Inventaire Complet'!$E$3:$E$517=Y9)*((COUNTIF($B$6:$B$10,TRUE)=0)+ISNUMBER(IFERROR(MATCH('📋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9" s="22">
        <f t="shared" si="1"/>
        <v>2.0009000000000001</v>
      </c>
    </row>
    <row r="10" spans="1:27" ht="21" thickBot="1" x14ac:dyDescent="0.45">
      <c r="A10" s="234" t="s">
        <v>1617</v>
      </c>
      <c r="B10" s="231" t="b">
        <v>0</v>
      </c>
      <c r="C10" s="232">
        <v>2014</v>
      </c>
      <c r="D10" s="229" t="b">
        <v>0</v>
      </c>
      <c r="E10" s="232" t="s">
        <v>413</v>
      </c>
      <c r="F10" s="229" t="b">
        <v>0</v>
      </c>
      <c r="G10" s="234" t="s">
        <v>2486</v>
      </c>
      <c r="H10" s="231" t="b">
        <v>0</v>
      </c>
      <c r="I10"/>
      <c r="J10"/>
      <c r="K10"/>
      <c r="L10"/>
      <c r="M10"/>
      <c r="N10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 t="s">
        <v>428</v>
      </c>
      <c r="Z10" cm="1">
        <f t="array" ref="Z10">IF(Y10="",0,SUMPRODUCT(('📋 Inventaire Complet'!$E$3:$E$517=Y10)*((COUNTIF($B$6:$B$10,TRUE)=0)+ISNUMBER(IFERROR(MATCH('📋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" s="22">
        <f t="shared" si="1"/>
        <v>1.0009999999999999</v>
      </c>
    </row>
    <row r="11" spans="1:27" ht="21.5" x14ac:dyDescent="0.5">
      <c r="A11" s="202"/>
      <c r="B11" s="202"/>
      <c r="C11" s="233">
        <v>2015</v>
      </c>
      <c r="D11" s="230" t="b">
        <v>0</v>
      </c>
      <c r="E11" s="233" t="s">
        <v>76</v>
      </c>
      <c r="F11" s="230" t="b">
        <v>0</v>
      </c>
      <c r="G11" s="202"/>
      <c r="H11" s="202"/>
      <c r="I11"/>
      <c r="J11"/>
      <c r="K11"/>
      <c r="L11"/>
      <c r="M11"/>
      <c r="N1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 t="s">
        <v>115</v>
      </c>
      <c r="Z11" cm="1">
        <f t="array" ref="Z11">IF(Y11="",0,SUMPRODUCT(('📋 Inventaire Complet'!$E$3:$E$517=Y11)*((COUNTIF($B$6:$B$10,TRUE)=0)+ISNUMBER(IFERROR(MATCH('📋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" s="22">
        <f t="shared" si="1"/>
        <v>1.0011000000000001</v>
      </c>
    </row>
    <row r="12" spans="1:27" ht="21.5" x14ac:dyDescent="0.5">
      <c r="A12" s="202"/>
      <c r="B12" s="202"/>
      <c r="C12" s="232">
        <v>2016</v>
      </c>
      <c r="D12" s="229" t="b">
        <v>0</v>
      </c>
      <c r="E12" s="232" t="s">
        <v>419</v>
      </c>
      <c r="F12" s="229" t="b">
        <v>0</v>
      </c>
      <c r="G12" s="202"/>
      <c r="H12" s="202"/>
      <c r="I12"/>
      <c r="J12"/>
      <c r="K12"/>
      <c r="L12"/>
      <c r="M12"/>
      <c r="N12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 t="s">
        <v>675</v>
      </c>
      <c r="Z12" cm="1">
        <f t="array" ref="Z12">IF(Y12="",0,SUMPRODUCT(('📋 Inventaire Complet'!$E$3:$E$517=Y12)*((COUNTIF($B$6:$B$10,TRUE)=0)+ISNUMBER(IFERROR(MATCH('📋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" s="22">
        <f t="shared" si="1"/>
        <v>1.0012000000000001</v>
      </c>
    </row>
    <row r="13" spans="1:27" ht="21.5" x14ac:dyDescent="0.5">
      <c r="A13" s="202"/>
      <c r="B13" s="202"/>
      <c r="C13" s="233">
        <v>2017</v>
      </c>
      <c r="D13" s="230" t="b">
        <v>0</v>
      </c>
      <c r="E13" s="233" t="s">
        <v>103</v>
      </c>
      <c r="F13" s="230" t="b">
        <v>0</v>
      </c>
      <c r="G13" s="202"/>
      <c r="H13" s="202"/>
      <c r="I13"/>
      <c r="J13"/>
      <c r="K13"/>
      <c r="L13"/>
      <c r="M13"/>
      <c r="N13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 t="s">
        <v>153</v>
      </c>
      <c r="Z13" cm="1">
        <f t="array" ref="Z13">IF(Y13="",0,SUMPRODUCT(('📋 Inventaire Complet'!$E$3:$E$517=Y13)*((COUNTIF($B$6:$B$10,TRUE)=0)+ISNUMBER(IFERROR(MATCH('📋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AA13" s="22">
        <f t="shared" si="1"/>
        <v>4.0012999999999996</v>
      </c>
    </row>
    <row r="14" spans="1:27" ht="21.5" x14ac:dyDescent="0.5">
      <c r="A14" s="202"/>
      <c r="B14" s="202"/>
      <c r="C14" s="232">
        <v>2018</v>
      </c>
      <c r="D14" s="229" t="b">
        <v>0</v>
      </c>
      <c r="E14" s="232" t="s">
        <v>1019</v>
      </c>
      <c r="F14" s="229" t="b">
        <v>0</v>
      </c>
      <c r="G14" s="202"/>
      <c r="H14" s="202"/>
      <c r="I14"/>
      <c r="J14"/>
      <c r="K14"/>
      <c r="L14"/>
      <c r="M14"/>
      <c r="N14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 t="s">
        <v>815</v>
      </c>
      <c r="Z14" cm="1">
        <f t="array" ref="Z14">IF(Y14="",0,SUMPRODUCT(('📋 Inventaire Complet'!$E$3:$E$517=Y14)*((COUNTIF($B$6:$B$10,TRUE)=0)+ISNUMBER(IFERROR(MATCH('📋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" s="22">
        <f t="shared" si="1"/>
        <v>1.0014000000000001</v>
      </c>
    </row>
    <row r="15" spans="1:27" ht="21.5" x14ac:dyDescent="0.5">
      <c r="A15" s="202"/>
      <c r="B15" s="202"/>
      <c r="C15" s="233">
        <v>2019</v>
      </c>
      <c r="D15" s="230" t="b">
        <v>0</v>
      </c>
      <c r="E15" s="233" t="s">
        <v>1282</v>
      </c>
      <c r="F15" s="230" t="b">
        <v>0</v>
      </c>
      <c r="G15" s="202"/>
      <c r="H15" s="202"/>
      <c r="I15"/>
      <c r="J15"/>
      <c r="K15"/>
      <c r="L15"/>
      <c r="M15"/>
      <c r="N15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 t="s">
        <v>43</v>
      </c>
      <c r="Z15" cm="1">
        <f t="array" ref="Z15">IF(Y15="",0,SUMPRODUCT(('📋 Inventaire Complet'!$E$3:$E$517=Y15)*((COUNTIF($B$6:$B$10,TRUE)=0)+ISNUMBER(IFERROR(MATCH('📋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" s="22">
        <f t="shared" si="1"/>
        <v>1.0015000000000001</v>
      </c>
    </row>
    <row r="16" spans="1:27" ht="21.5" x14ac:dyDescent="0.5">
      <c r="A16" s="202"/>
      <c r="B16" s="202"/>
      <c r="C16" s="232">
        <v>2020</v>
      </c>
      <c r="D16" s="229" t="b">
        <v>0</v>
      </c>
      <c r="E16" s="232" t="s">
        <v>180</v>
      </c>
      <c r="F16" s="229" t="b">
        <v>0</v>
      </c>
      <c r="G16" s="202"/>
      <c r="H16" s="202"/>
      <c r="I16"/>
      <c r="J16"/>
      <c r="K16"/>
      <c r="L16"/>
      <c r="M16"/>
      <c r="N16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 t="s">
        <v>47</v>
      </c>
      <c r="Z16" cm="1">
        <f t="array" ref="Z16">IF(Y16="",0,SUMPRODUCT(('📋 Inventaire Complet'!$E$3:$E$517=Y16)*((COUNTIF($B$6:$B$10,TRUE)=0)+ISNUMBER(IFERROR(MATCH('📋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" s="22">
        <f t="shared" si="1"/>
        <v>1.0016</v>
      </c>
    </row>
    <row r="17" spans="1:27" ht="21.5" x14ac:dyDescent="0.5">
      <c r="A17" s="202"/>
      <c r="B17" s="202"/>
      <c r="C17" s="233">
        <v>2021</v>
      </c>
      <c r="D17" s="230" t="b">
        <v>0</v>
      </c>
      <c r="E17" s="233" t="s">
        <v>466</v>
      </c>
      <c r="F17" s="230" t="b">
        <v>0</v>
      </c>
      <c r="G17" s="202"/>
      <c r="H17" s="202"/>
      <c r="I17"/>
      <c r="J17"/>
      <c r="K17"/>
      <c r="L17"/>
      <c r="M17"/>
      <c r="N17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 t="s">
        <v>51</v>
      </c>
      <c r="Z17" cm="1">
        <f t="array" ref="Z17">IF(Y17="",0,SUMPRODUCT(('📋 Inventaire Complet'!$E$3:$E$517=Y17)*((COUNTIF($B$6:$B$10,TRUE)=0)+ISNUMBER(IFERROR(MATCH('📋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" s="22">
        <f t="shared" si="1"/>
        <v>1.0017</v>
      </c>
    </row>
    <row r="18" spans="1:27" ht="21.5" x14ac:dyDescent="0.5">
      <c r="A18" s="202"/>
      <c r="B18" s="202"/>
      <c r="C18" s="232">
        <v>2022</v>
      </c>
      <c r="D18" s="229" t="b">
        <v>0</v>
      </c>
      <c r="E18" s="232" t="s">
        <v>170</v>
      </c>
      <c r="F18" s="229" t="b">
        <v>0</v>
      </c>
      <c r="G18" s="202"/>
      <c r="H18" s="202"/>
      <c r="I18"/>
      <c r="J18"/>
      <c r="K18"/>
      <c r="L18"/>
      <c r="M18"/>
      <c r="N18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 t="s">
        <v>55</v>
      </c>
      <c r="Z18" cm="1">
        <f t="array" ref="Z18">IF(Y18="",0,SUMPRODUCT(('📋 Inventaire Complet'!$E$3:$E$517=Y18)*((COUNTIF($B$6:$B$10,TRUE)=0)+ISNUMBER(IFERROR(MATCH('📋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8" s="22">
        <f t="shared" si="1"/>
        <v>1.0018</v>
      </c>
    </row>
    <row r="19" spans="1:27" ht="21.5" x14ac:dyDescent="0.5">
      <c r="A19" s="202"/>
      <c r="B19" s="202"/>
      <c r="C19" s="233">
        <v>2023</v>
      </c>
      <c r="D19" s="230" t="b">
        <v>0</v>
      </c>
      <c r="E19" s="233" t="s">
        <v>475</v>
      </c>
      <c r="F19" s="230" t="b">
        <v>0</v>
      </c>
      <c r="G19" s="202"/>
      <c r="H19" s="202"/>
      <c r="I19"/>
      <c r="J19"/>
      <c r="K19"/>
      <c r="L19"/>
      <c r="M19"/>
      <c r="N19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 t="s">
        <v>58</v>
      </c>
      <c r="Z19" cm="1">
        <f t="array" ref="Z19">IF(Y19="",0,SUMPRODUCT(('📋 Inventaire Complet'!$E$3:$E$517=Y19)*((COUNTIF($B$6:$B$10,TRUE)=0)+ISNUMBER(IFERROR(MATCH('📋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9" s="22">
        <f t="shared" si="1"/>
        <v>1.0019</v>
      </c>
    </row>
    <row r="20" spans="1:27" ht="22" thickBot="1" x14ac:dyDescent="0.55000000000000004">
      <c r="A20" s="202"/>
      <c r="B20" s="202"/>
      <c r="C20" s="232">
        <v>2024</v>
      </c>
      <c r="D20" s="229" t="b">
        <v>0</v>
      </c>
      <c r="E20" s="234" t="s">
        <v>1809</v>
      </c>
      <c r="F20" s="231" t="b">
        <v>0</v>
      </c>
      <c r="G20" s="202"/>
      <c r="H20" s="202"/>
      <c r="I20"/>
      <c r="J20"/>
      <c r="K20"/>
      <c r="L20"/>
      <c r="M20"/>
      <c r="N20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 t="s">
        <v>64</v>
      </c>
      <c r="Z20" cm="1">
        <f t="array" ref="Z20">IF(Y20="",0,SUMPRODUCT(('📋 Inventaire Complet'!$E$3:$E$517=Y20)*((COUNTIF($B$6:$B$10,TRUE)=0)+ISNUMBER(IFERROR(MATCH('📋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0" s="22">
        <f t="shared" si="1"/>
        <v>1.002</v>
      </c>
    </row>
    <row r="21" spans="1:27" ht="21.5" x14ac:dyDescent="0.5">
      <c r="A21" s="202"/>
      <c r="B21" s="202"/>
      <c r="C21" s="233">
        <v>2025</v>
      </c>
      <c r="D21" s="230" t="b">
        <v>0</v>
      </c>
      <c r="E21" s="202"/>
      <c r="F21" s="202"/>
      <c r="G21" s="202"/>
      <c r="H21" s="202"/>
      <c r="I21"/>
      <c r="J21"/>
      <c r="K21"/>
      <c r="L21"/>
      <c r="M21"/>
      <c r="N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 t="s">
        <v>462</v>
      </c>
      <c r="Z21" cm="1">
        <f t="array" ref="Z21">IF(Y21="",0,SUMPRODUCT(('📋 Inventaire Complet'!$E$3:$E$517=Y21)*((COUNTIF($B$6:$B$10,TRUE)=0)+ISNUMBER(IFERROR(MATCH('📋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1" s="22">
        <f t="shared" si="1"/>
        <v>1.0021</v>
      </c>
    </row>
    <row r="22" spans="1:27" ht="22" thickBot="1" x14ac:dyDescent="0.55000000000000004">
      <c r="A22" s="202"/>
      <c r="B22" s="202"/>
      <c r="C22" s="234">
        <v>2026</v>
      </c>
      <c r="D22" s="231" t="b">
        <v>0</v>
      </c>
      <c r="E22" s="202"/>
      <c r="F22" s="202"/>
      <c r="G22" s="202"/>
      <c r="H22" s="202"/>
      <c r="I22"/>
      <c r="J22"/>
      <c r="K22"/>
      <c r="L22"/>
      <c r="M22"/>
      <c r="N22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 t="s">
        <v>572</v>
      </c>
      <c r="Z22" cm="1">
        <f t="array" ref="Z22">IF(Y22="",0,SUMPRODUCT(('📋 Inventaire Complet'!$E$3:$E$517=Y22)*((COUNTIF($B$6:$B$10,TRUE)=0)+ISNUMBER(IFERROR(MATCH('📋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2" s="22">
        <f t="shared" si="1"/>
        <v>1.0022</v>
      </c>
    </row>
    <row r="23" spans="1:27" x14ac:dyDescent="0.4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 t="s">
        <v>587</v>
      </c>
      <c r="Z23" cm="1">
        <f t="array" ref="Z23">IF(Y23="",0,SUMPRODUCT(('📋 Inventaire Complet'!$E$3:$E$517=Y23)*((COUNTIF($B$6:$B$10,TRUE)=0)+ISNUMBER(IFERROR(MATCH('📋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3" s="22">
        <f t="shared" si="1"/>
        <v>1.0023</v>
      </c>
    </row>
    <row r="24" spans="1:27" x14ac:dyDescent="0.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 t="s">
        <v>120</v>
      </c>
      <c r="Z24" cm="1">
        <f t="array" ref="Z24">IF(Y24="",0,SUMPRODUCT(('📋 Inventaire Complet'!$E$3:$E$517=Y24)*((COUNTIF($B$6:$B$10,TRUE)=0)+ISNUMBER(IFERROR(MATCH('📋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4" s="22">
        <f t="shared" si="1"/>
        <v>1.0024</v>
      </c>
    </row>
    <row r="25" spans="1:27" ht="21" thickBot="1" x14ac:dyDescent="0.4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 t="s">
        <v>672</v>
      </c>
      <c r="Z25" cm="1">
        <f t="array" ref="Z25">IF(Y25="",0,SUMPRODUCT(('📋 Inventaire Complet'!$E$3:$E$517=Y25)*((COUNTIF($B$6:$B$10,TRUE)=0)+ISNUMBER(IFERROR(MATCH('📋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5" s="22">
        <f t="shared" si="1"/>
        <v>1.0024999999999999</v>
      </c>
    </row>
    <row r="26" spans="1:27" ht="21" thickBot="1" x14ac:dyDescent="0.45">
      <c r="A26" s="243" t="s">
        <v>1792</v>
      </c>
      <c r="B26" s="244"/>
      <c r="C26" s="244"/>
      <c r="D26" s="244"/>
      <c r="E26" s="244"/>
      <c r="F26" s="244"/>
      <c r="G26" s="244"/>
      <c r="H26" s="244"/>
      <c r="I26" s="244"/>
      <c r="J26" s="244"/>
      <c r="K26" s="245"/>
      <c r="L26" s="21"/>
      <c r="M26" s="21"/>
      <c r="N26" s="21"/>
      <c r="O26" s="21"/>
      <c r="P26" s="21"/>
      <c r="Q26" s="21"/>
      <c r="R26" s="21"/>
      <c r="S26" s="21"/>
      <c r="T26" s="21">
        <v>2016</v>
      </c>
      <c r="U26" s="21" t="s">
        <v>419</v>
      </c>
      <c r="V26" s="21" t="s">
        <v>1950</v>
      </c>
      <c r="W26" s="21" cm="1">
        <f t="array" ref="W26">SUMPRODUCT(('📋 Inventaire Complet'!$C$3:$C$517=$V26)*(((COUNTIF($B$6:$B$10,TRUE)=0)+ISNUMBER(IFERROR(MATCH('📋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19</v>
      </c>
      <c r="X26" s="21">
        <f t="shared" ref="X26:X57" si="2">W26+ROW()/10000</f>
        <v>19.002600000000001</v>
      </c>
      <c r="Y26" s="21" t="s">
        <v>728</v>
      </c>
      <c r="Z26" cm="1">
        <f t="array" ref="Z26">IF(Y26="",0,SUMPRODUCT(('📋 Inventaire Complet'!$E$3:$E$517=Y26)*((COUNTIF($B$6:$B$10,TRUE)=0)+ISNUMBER(IFERROR(MATCH('📋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6" s="22">
        <f t="shared" si="1"/>
        <v>1.0025999999999999</v>
      </c>
    </row>
    <row r="27" spans="1:27" x14ac:dyDescent="0.4">
      <c r="A27" s="23" t="s">
        <v>1793</v>
      </c>
      <c r="B27" s="24" t="s">
        <v>1794</v>
      </c>
      <c r="C27" s="24" t="s">
        <v>1795</v>
      </c>
      <c r="D27" s="24" t="s">
        <v>1796</v>
      </c>
      <c r="E27" s="24" t="s">
        <v>1797</v>
      </c>
      <c r="F27" s="24" t="s">
        <v>1798</v>
      </c>
      <c r="G27" s="24" t="s">
        <v>1799</v>
      </c>
      <c r="H27" s="24" t="s">
        <v>1823</v>
      </c>
      <c r="I27" s="25"/>
      <c r="J27" s="25"/>
      <c r="K27" s="26"/>
      <c r="L27" s="21"/>
      <c r="M27" s="21"/>
      <c r="N27" s="21"/>
      <c r="O27" s="21"/>
      <c r="P27" s="21"/>
      <c r="Q27" s="21"/>
      <c r="R27" s="21"/>
      <c r="S27" s="21"/>
      <c r="T27" s="21">
        <v>2017</v>
      </c>
      <c r="U27" s="21" t="s">
        <v>103</v>
      </c>
      <c r="V27" s="21" t="s">
        <v>1975</v>
      </c>
      <c r="W27" s="21" cm="1">
        <f t="array" ref="W27">SUMPRODUCT(('📋 Inventaire Complet'!$C$3:$C$517=$V27)*(((COUNTIF($B$6:$B$10,TRUE)=0)+ISNUMBER(IFERROR(MATCH('📋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</v>
      </c>
      <c r="X27" s="21">
        <f t="shared" si="2"/>
        <v>10.002700000000001</v>
      </c>
      <c r="Y27" s="21" t="s">
        <v>185</v>
      </c>
      <c r="Z27" cm="1">
        <f t="array" ref="Z27">IF(Y27="",0,SUMPRODUCT(('📋 Inventaire Complet'!$E$3:$E$517=Y27)*((COUNTIF($B$6:$B$10,TRUE)=0)+ISNUMBER(IFERROR(MATCH('📋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7" s="22">
        <f t="shared" si="1"/>
        <v>1.0026999999999999</v>
      </c>
    </row>
    <row r="28" spans="1:27" ht="21" thickBot="1" x14ac:dyDescent="0.45">
      <c r="A28" s="27" cm="1">
        <f t="array" ref="A28">SUMPRODUCT((LEN('📋 Inventaire Complet'!D3:D517)&gt;0)*(((COUNTIF($B$6:$B$10,TRUE)=0)+ISNUMBER(IFERROR(MATCH('📋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393</v>
      </c>
      <c r="B28" s="28" cm="1">
        <f t="array" ref="B28">SUMPRODUCT((LEN('📋 Inventaire Complet'!D3:D517)&gt;0)*(ISNUMBER(SEARCH("Maintenu",'📋 Inventaire Complet'!L3:L517)))*(((COUNTIF($B$6:$B$10,TRUE)=0)+ISNUMBER(IFERROR(MATCH('📋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121</v>
      </c>
      <c r="C28" s="28" cm="1">
        <f t="array" ref="C28">SUMPRODUCT((LEN('📋 Inventaire Complet'!D3:D517)&gt;0)*(ISNUMBER(SEARCH("Délivré",'📋 Inventaire Complet'!L3:L517)))*(((COUNTIF($B$6:$B$10,TRUE)=0)+ISNUMBER(IFERROR(MATCH('📋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51</v>
      </c>
      <c r="D28" s="28" cm="1">
        <f t="array" ref="D28">SUMPRODUCT((LEN('📋 Inventaire Complet'!D3:D517)&gt;0)*(ISNUMBER(SEARCH("PCT",'📋 Inventaire Complet'!L3:L517)))*(((COUNTIF($B$6:$B$10,TRUE)=0)+ISNUMBER(IFERROR(MATCH('📋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26</v>
      </c>
      <c r="E28" s="28" cm="1">
        <f t="array" ref="E28">SUMPRODUCT((LEN('📋 Inventaire Complet'!D3:D517)&gt;0)*(ISNUMBER(SEARCH("OMPIC",'📋 Inventaire Complet'!L3:L517)))*(((COUNTIF($B$6:$B$10,TRUE)=0)+ISNUMBER(IFERROR(MATCH('📋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56</v>
      </c>
      <c r="F28" s="28" cm="1">
        <f t="array" ref="F28">SUMPRODUCT((LEN('📋 Inventaire Complet'!D3:D517)&gt;0)*(ISNUMBER(SEARCH("Abandonné",'📋 Inventaire Complet'!L3:L517)))*(((COUNTIF($B$6:$B$10,TRUE)=0)+ISNUMBER(IFERROR(MATCH('📋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44</v>
      </c>
      <c r="G28" s="28" cm="1">
        <f t="array" ref="G28">SUMPRODUCT((LEN('📋 Inventaire Complet'!E3:E517)&gt;0)*(LEN('📋 Inventaire Complet'!D3:D517)&gt;0)*(((COUNTIF($B$6:$B$10,TRUE)=0)+ISNUMBER(IFERROR(MATCH('📋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Complet'!F3:F517,{"D4R";"CEPH";"ISTI";"COLCOM";"HTMR"},0))))&gt;0)))</f>
        <v>192</v>
      </c>
      <c r="H28" s="28" cm="1">
        <f t="array" ref="H28">SUMPRODUCT(IFERROR((MATCH('📋 Inventaire Complet'!F3:F517,'📋 Inventaire Complet'!F3:F517,0)=ROW('📋 Inventaire Complet'!F3:F517)-2)*(LEN('📋 Inventaire Complet'!F3:F517)&gt;0)*(((COUNTIF($B$6:$B$10,TRUE)=0)+ISNUMBER(IFERROR(MATCH('📋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Complet'!F3:F517,{"D4R";"CEPH";"ISTI";"COLCOM";"HTMR"},0))))&gt;0)),0)*(LEN('📋 Inventaire Complet'!$D$3:$D$517)&gt;0))</f>
        <v>19</v>
      </c>
      <c r="I28" s="29"/>
      <c r="J28" s="29"/>
      <c r="K28" s="30"/>
      <c r="L28" s="21"/>
      <c r="M28" s="21"/>
      <c r="N28" s="21"/>
      <c r="O28" s="21"/>
      <c r="P28" s="21"/>
      <c r="Q28" s="21"/>
      <c r="R28" s="21"/>
      <c r="S28" s="21"/>
      <c r="T28" s="21">
        <v>2018</v>
      </c>
      <c r="U28" s="21" t="s">
        <v>1019</v>
      </c>
      <c r="V28" s="21" t="s">
        <v>1990</v>
      </c>
      <c r="W28" s="21" cm="1">
        <f t="array" ref="W28">SUMPRODUCT(('📋 Inventaire Complet'!$C$3:$C$517=$V28)*(((COUNTIF($B$6:$B$10,TRUE)=0)+ISNUMBER(IFERROR(MATCH('📋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28" s="21">
        <f t="shared" si="2"/>
        <v>3.0028000000000001</v>
      </c>
      <c r="Y28" s="21" t="s">
        <v>190</v>
      </c>
      <c r="Z28" cm="1">
        <f t="array" ref="Z28">IF(Y28="",0,SUMPRODUCT(('📋 Inventaire Complet'!$E$3:$E$517=Y28)*((COUNTIF($B$6:$B$10,TRUE)=0)+ISNUMBER(IFERROR(MATCH('📋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28" s="22">
        <f t="shared" si="1"/>
        <v>2.0028000000000001</v>
      </c>
    </row>
    <row r="29" spans="1:27" ht="21" thickBot="1" x14ac:dyDescent="0.4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>
        <v>2019</v>
      </c>
      <c r="U29" s="21" t="s">
        <v>1282</v>
      </c>
      <c r="V29" s="21" t="s">
        <v>1995</v>
      </c>
      <c r="W29" s="21" cm="1">
        <f t="array" ref="W29">SUMPRODUCT(('📋 Inventaire Complet'!$C$3:$C$517=$V29)*(((COUNTIF($B$6:$B$10,TRUE)=0)+ISNUMBER(IFERROR(MATCH('📋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18</v>
      </c>
      <c r="X29" s="21">
        <f t="shared" si="2"/>
        <v>18.0029</v>
      </c>
      <c r="Y29" s="21" t="s">
        <v>194</v>
      </c>
      <c r="Z29" cm="1">
        <f t="array" ref="Z29">IF(Y29="",0,SUMPRODUCT(('📋 Inventaire Complet'!$E$3:$E$517=Y29)*((COUNTIF($B$6:$B$10,TRUE)=0)+ISNUMBER(IFERROR(MATCH('📋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29" s="22">
        <f t="shared" si="1"/>
        <v>1.0028999999999999</v>
      </c>
    </row>
    <row r="30" spans="1:27" x14ac:dyDescent="0.4">
      <c r="A30" s="23" t="s">
        <v>1800</v>
      </c>
      <c r="B30" s="24" t="s">
        <v>1801</v>
      </c>
      <c r="C30" s="24" t="s">
        <v>1802</v>
      </c>
      <c r="D30" s="24" t="s">
        <v>1803</v>
      </c>
      <c r="E30" s="24" t="s">
        <v>1804</v>
      </c>
      <c r="F30" s="24" t="s">
        <v>1805</v>
      </c>
      <c r="G30" s="24" t="s">
        <v>1806</v>
      </c>
      <c r="H30" s="24" t="s">
        <v>1807</v>
      </c>
      <c r="I30" s="25"/>
      <c r="J30" s="25"/>
      <c r="K30" s="26"/>
      <c r="L30" s="21"/>
      <c r="M30" s="21"/>
      <c r="N30" s="21"/>
      <c r="O30" s="21"/>
      <c r="P30" s="21"/>
      <c r="Q30" s="21"/>
      <c r="R30" s="21"/>
      <c r="S30" s="21"/>
      <c r="T30" s="21">
        <v>2020</v>
      </c>
      <c r="U30" s="21" t="s">
        <v>180</v>
      </c>
      <c r="V30" s="21" t="s">
        <v>2022</v>
      </c>
      <c r="W30" s="21" cm="1">
        <f t="array" ref="W30">SUMPRODUCT(('📋 Inventaire Complet'!$C$3:$C$517=$V30)*(((COUNTIF($B$6:$B$10,TRUE)=0)+ISNUMBER(IFERROR(MATCH('📋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17</v>
      </c>
      <c r="X30" s="21">
        <f t="shared" si="2"/>
        <v>17.003</v>
      </c>
      <c r="Y30" s="21" t="s">
        <v>198</v>
      </c>
      <c r="Z30" cm="1">
        <f t="array" ref="Z30">IF(Y30="",0,SUMPRODUCT(('📋 Inventaire Complet'!$E$3:$E$517=Y30)*((COUNTIF($B$6:$B$10,TRUE)=0)+ISNUMBER(IFERROR(MATCH('📋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30" s="22">
        <f t="shared" si="1"/>
        <v>2.0030000000000001</v>
      </c>
    </row>
    <row r="31" spans="1:27" ht="21" thickBot="1" x14ac:dyDescent="0.45">
      <c r="A31" s="27" cm="1">
        <f t="array" aca="1" ref="A31" ca="1">SUMPRODUCT((LEN('📋 Inventaire Complet'!D3:D517)&gt;0)*(IFERROR(VALUE(LEFT('📋 Inventaire Complet'!J3:J517,4)),0)&gt;=YEAR(TODAY())-5)*(((COUNTIF($B$6:$B$10,TRUE)=0)+ISNUMBER(IFERROR(MATCH('📋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101</v>
      </c>
      <c r="B31" s="31" cm="1">
        <f t="array" ref="B31">IFERROR(SUMPRODUCT((LEN('📋 Inventaire Complet'!D3:D517)&gt;0)*(IFERROR(VALUE(LEFT('📋 Inventaire Complet'!J3:J517,4)),0)&gt;0)*(((COUNTIF($B$6:$B$10,TRUE)=0)+ISNUMBER(IFERROR(MATCH('📋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Complet'!F3:F517,{"D4R";"CEPH";"ISTI";"COLCOM";"HTMR"},0))))&gt;0))*(((COUNTIF($H$6:$H$10,TRUE)=0)+(($H$6*ISNUMBER(SEARCH($G$6,'📋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Complet'!$L$3:$L$517))))&gt;0)))/(MAX(IFERROR(VALUE(LEFT('📋 Inventaire Complet'!J3:J517,4)),0))-MIN(IF(IFERROR(VALUE(LEFT('📋 Inventaire Complet'!J3:J517,4)),0)&gt;0,IFERROR(VALUE(LEFT('📋 Inventaire Complet'!J3:J517,4)),9999)))+1),0)</f>
        <v>16.117647058823529</v>
      </c>
      <c r="C31" s="32">
        <f>IFERROR(INDEX($A$53:$A$69,MATCH(MAX($G$53:$G$69),$G$53:$G$69,0)),"-")</f>
        <v>2015</v>
      </c>
      <c r="D31" s="32" cm="1">
        <f t="array" ref="D31">MAX(IFERROR(VALUE(LEFT('📋 Inventaire Complet'!J3:J517,4)),0))</f>
        <v>2026</v>
      </c>
      <c r="E31" s="33">
        <f>IFERROR((B28+C28)/A28,0)</f>
        <v>0.43765903307888043</v>
      </c>
      <c r="F31" s="33">
        <f>IFERROR(F28/A28,0)</f>
        <v>0.11195928753180662</v>
      </c>
      <c r="G31" s="33">
        <f>IFERROR(G28/A28,0)</f>
        <v>0.48854961832061067</v>
      </c>
      <c r="H31" s="33" cm="1">
        <f t="array" ref="H31">IFERROR(SUMPRODUCT((LEN('📋 Inventaire Complet'!D3:D517)&gt;0)*(LEN('📋 Inventaire Complet'!M3:M517)&gt;0)*(((COUNTIF($B$6:$B$10,TRUE)=0)+ISNUMBER(IFERROR(MATCH('📋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Complet'!F3:F517,{"D4R";"CEPH";"ISTI";"COLCOM";"HTMR"},0))))&gt;0)))/A28,0)</f>
        <v>0.67684478371501278</v>
      </c>
      <c r="I31" s="29"/>
      <c r="J31" s="29"/>
      <c r="K31" s="30"/>
      <c r="L31" s="21"/>
      <c r="M31" s="21"/>
      <c r="N31" s="21"/>
      <c r="O31" s="21"/>
      <c r="P31" s="21"/>
      <c r="Q31" s="21"/>
      <c r="R31" s="21"/>
      <c r="S31" s="21"/>
      <c r="T31" s="21">
        <v>2021</v>
      </c>
      <c r="U31" s="21" t="s">
        <v>466</v>
      </c>
      <c r="V31" s="21" t="s">
        <v>2031</v>
      </c>
      <c r="W31" s="21" cm="1">
        <f t="array" ref="W31">SUMPRODUCT(('📋 Inventaire Complet'!$C$3:$C$517=$V31)*(((COUNTIF($B$6:$B$10,TRUE)=0)+ISNUMBER(IFERROR(MATCH('📋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X31" s="21">
        <f t="shared" si="2"/>
        <v>5.0030999999999999</v>
      </c>
      <c r="Y31" s="21" t="s">
        <v>206</v>
      </c>
      <c r="Z31" cm="1">
        <f t="array" ref="Z31">IF(Y31="",0,SUMPRODUCT(('📋 Inventaire Complet'!$E$3:$E$517=Y31)*((COUNTIF($B$6:$B$10,TRUE)=0)+ISNUMBER(IFERROR(MATCH('📋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1" s="22">
        <f t="shared" si="1"/>
        <v>1.0031000000000001</v>
      </c>
    </row>
    <row r="32" spans="1:27" ht="21" thickBot="1" x14ac:dyDescent="0.4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>
        <v>2022</v>
      </c>
      <c r="U32" s="21" t="s">
        <v>170</v>
      </c>
      <c r="V32" s="21" t="s">
        <v>2034</v>
      </c>
      <c r="W32" s="21" cm="1">
        <f t="array" ref="W32">SUMPRODUCT(('📋 Inventaire Complet'!$C$3:$C$517=$V32)*(((COUNTIF($B$6:$B$10,TRUE)=0)+ISNUMBER(IFERROR(MATCH('📋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12</v>
      </c>
      <c r="X32" s="21">
        <f t="shared" si="2"/>
        <v>12.0032</v>
      </c>
      <c r="Y32" s="21" t="s">
        <v>210</v>
      </c>
      <c r="Z32" cm="1">
        <f t="array" ref="Z32">IF(Y32="",0,SUMPRODUCT(('📋 Inventaire Complet'!$E$3:$E$517=Y32)*((COUNTIF($B$6:$B$10,TRUE)=0)+ISNUMBER(IFERROR(MATCH('📋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2" s="22">
        <f t="shared" si="1"/>
        <v>1.0032000000000001</v>
      </c>
    </row>
    <row r="33" spans="1:27" ht="21" thickBot="1" x14ac:dyDescent="0.45">
      <c r="A33" s="243" t="s">
        <v>1808</v>
      </c>
      <c r="B33" s="244"/>
      <c r="C33" s="245"/>
      <c r="D33" s="34"/>
      <c r="E33" s="243" t="s">
        <v>1822</v>
      </c>
      <c r="F33" s="244"/>
      <c r="G33" s="245"/>
      <c r="H33" s="34"/>
      <c r="I33" s="243" t="s">
        <v>1810</v>
      </c>
      <c r="J33" s="244"/>
      <c r="K33" s="245"/>
      <c r="L33" s="21"/>
      <c r="M33" s="21"/>
      <c r="N33" s="21"/>
      <c r="O33" s="21"/>
      <c r="P33" s="21"/>
      <c r="Q33" s="21"/>
      <c r="R33" s="21"/>
      <c r="S33" s="21"/>
      <c r="T33" s="21">
        <v>2023</v>
      </c>
      <c r="U33" s="21" t="s">
        <v>475</v>
      </c>
      <c r="V33" s="21" t="s">
        <v>2051</v>
      </c>
      <c r="W33" s="21" cm="1">
        <f t="array" ref="W33">SUMPRODUCT(('📋 Inventaire Complet'!$C$3:$C$517=$V33)*(((COUNTIF($B$6:$B$10,TRUE)=0)+ISNUMBER(IFERROR(MATCH('📋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33" s="21">
        <f t="shared" si="2"/>
        <v>3.0032999999999999</v>
      </c>
      <c r="Y33" s="21" t="s">
        <v>215</v>
      </c>
      <c r="Z33" cm="1">
        <f t="array" ref="Z33">IF(Y33="",0,SUMPRODUCT(('📋 Inventaire Complet'!$E$3:$E$517=Y33)*((COUNTIF($B$6:$B$10,TRUE)=0)+ISNUMBER(IFERROR(MATCH('📋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3" s="22">
        <f t="shared" si="1"/>
        <v>1.0033000000000001</v>
      </c>
    </row>
    <row r="34" spans="1:27" x14ac:dyDescent="0.4">
      <c r="A34" s="35" t="s">
        <v>1</v>
      </c>
      <c r="B34" s="36" t="s">
        <v>1783</v>
      </c>
      <c r="C34" s="37" t="s">
        <v>1784</v>
      </c>
      <c r="D34" s="21"/>
      <c r="E34" s="35" t="s">
        <v>5</v>
      </c>
      <c r="F34" s="36" t="s">
        <v>1783</v>
      </c>
      <c r="G34" s="37" t="s">
        <v>1784</v>
      </c>
      <c r="H34" s="21"/>
      <c r="I34" s="35" t="s">
        <v>1789</v>
      </c>
      <c r="J34" s="36" t="s">
        <v>1783</v>
      </c>
      <c r="K34" s="37" t="s">
        <v>1784</v>
      </c>
      <c r="L34" s="21"/>
      <c r="M34" s="21"/>
      <c r="N34" s="21"/>
      <c r="O34" s="21"/>
      <c r="P34" s="21"/>
      <c r="Q34" s="21"/>
      <c r="R34" s="21"/>
      <c r="S34" s="21"/>
      <c r="T34" s="21">
        <v>2024</v>
      </c>
      <c r="U34" s="21" t="s">
        <v>34</v>
      </c>
      <c r="V34" s="21" t="s">
        <v>2052</v>
      </c>
      <c r="W34" s="21" cm="1">
        <f t="array" ref="W34">SUMPRODUCT(('📋 Inventaire Complet'!$C$3:$C$517=$V34)*(((COUNTIF($B$6:$B$10,TRUE)=0)+ISNUMBER(IFERROR(MATCH('📋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34" s="21">
        <f t="shared" si="2"/>
        <v>2.0034000000000001</v>
      </c>
      <c r="Y34" s="21" t="s">
        <v>223</v>
      </c>
      <c r="Z34" cm="1">
        <f t="array" ref="Z34">IF(Y34="",0,SUMPRODUCT(('📋 Inventaire Complet'!$E$3:$E$517=Y34)*((COUNTIF($B$6:$B$10,TRUE)=0)+ISNUMBER(IFERROR(MATCH('📋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4" s="22">
        <f t="shared" si="1"/>
        <v>1.0034000000000001</v>
      </c>
    </row>
    <row r="35" spans="1:27" x14ac:dyDescent="0.4">
      <c r="A35" s="38" t="s">
        <v>19</v>
      </c>
      <c r="B35" s="39" cm="1">
        <f t="array" ref="B35">SUMPRODUCT(('📋 Inventaire Complet'!$B$3:$B$517=$A35)*(((COUNTIF($D$6:$D$22,TRUE)=0)+ISNUMBER(IFERROR(MATCH(LEFT('📋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161</v>
      </c>
      <c r="C35" s="40">
        <f>IFERROR(B35/$B$40,0)</f>
        <v>0.41176470588235292</v>
      </c>
      <c r="D35" s="21"/>
      <c r="E35" s="38" t="s">
        <v>21</v>
      </c>
      <c r="F35" s="39" cm="1">
        <f t="array" ref="F35">SUMPRODUCT(('📋 Inventaire Complet'!$F$3:$F$517=$E35)*(((COUNTIF($B$6:$B$10,TRUE)=0)+ISNUMBER(IFERROR(MATCH('📋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193</v>
      </c>
      <c r="G35" s="40">
        <f t="shared" ref="G35:G49" si="3">IFERROR(F35/$F$50,0)</f>
        <v>0.4910941475826972</v>
      </c>
      <c r="H35" s="21"/>
      <c r="I35" s="38" t="s">
        <v>1811</v>
      </c>
      <c r="J35" s="39" cm="1">
        <f t="array" ref="J35">SUMPRODUCT((ISNUMBER(SEARCH("Maintenu",'📋 Inventaire Complet'!$L$3:$L$517)))*(((COUNTIF($B$6:$B$10,TRUE)=0)+ISNUMBER(IFERROR(MATCH('📋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Complet'!$D$3:$D$517)&gt;0))</f>
        <v>121</v>
      </c>
      <c r="K35" s="40">
        <f t="shared" ref="K35:K42" si="4">IFERROR(J35/$A$28,0)</f>
        <v>0.30788804071246817</v>
      </c>
      <c r="L35" s="21"/>
      <c r="M35" s="21"/>
      <c r="N35" s="21"/>
      <c r="O35" s="21"/>
      <c r="P35" s="21"/>
      <c r="Q35" s="21"/>
      <c r="R35" s="21"/>
      <c r="S35" s="21"/>
      <c r="T35" s="21">
        <v>2025</v>
      </c>
      <c r="U35" s="21" t="s">
        <v>913</v>
      </c>
      <c r="V35" s="21" t="s">
        <v>2055</v>
      </c>
      <c r="W35" s="21" cm="1">
        <f t="array" ref="W35">SUMPRODUCT(('📋 Inventaire Complet'!$C$3:$C$517=$V35)*(((COUNTIF($B$6:$B$10,TRUE)=0)+ISNUMBER(IFERROR(MATCH('📋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X35" s="21">
        <f t="shared" si="2"/>
        <v>4.0034999999999998</v>
      </c>
      <c r="Y35" s="21" t="s">
        <v>227</v>
      </c>
      <c r="Z35" cm="1">
        <f t="array" ref="Z35">IF(Y35="",0,SUMPRODUCT(('📋 Inventaire Complet'!$E$3:$E$517=Y35)*((COUNTIF($B$6:$B$10,TRUE)=0)+ISNUMBER(IFERROR(MATCH('📋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35" s="22">
        <f t="shared" si="1"/>
        <v>2.0034999999999998</v>
      </c>
    </row>
    <row r="36" spans="1:27" x14ac:dyDescent="0.4">
      <c r="A36" s="41" t="s">
        <v>831</v>
      </c>
      <c r="B36" s="42" cm="1">
        <f t="array" ref="B36">SUMPRODUCT(('📋 Inventaire Complet'!$B$3:$B$517=$A36)*(((COUNTIF($D$6:$D$22,TRUE)=0)+ISNUMBER(IFERROR(MATCH(LEFT('📋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101</v>
      </c>
      <c r="C36" s="43">
        <f>IFERROR(B36/$B$40,0)</f>
        <v>0.25831202046035806</v>
      </c>
      <c r="D36" s="21"/>
      <c r="E36" s="41" t="s">
        <v>1912</v>
      </c>
      <c r="F36" s="42" cm="1">
        <f t="array" ref="F36">SUMPRODUCT(('📋 Inventaire Complet'!$F$3:$F$517=$E36)*(((COUNTIF($B$6:$B$10,TRUE)=0)+ISNUMBER(IFERROR(MATCH('📋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92</v>
      </c>
      <c r="G36" s="43">
        <f t="shared" si="3"/>
        <v>0.2340966921119593</v>
      </c>
      <c r="H36" s="21"/>
      <c r="I36" s="41" t="s">
        <v>280</v>
      </c>
      <c r="J36" s="42" cm="1">
        <f t="array" ref="J36">SUMPRODUCT((ISNUMBER(SEARCH("Délivré",'📋 Inventaire Complet'!$L$3:$L$517)))*(((COUNTIF($B$6:$B$10,TRUE)=0)+ISNUMBER(IFERROR(MATCH('📋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Complet'!$D$3:$D$517)&gt;0))</f>
        <v>51</v>
      </c>
      <c r="K36" s="43">
        <f t="shared" si="4"/>
        <v>0.12977099236641221</v>
      </c>
      <c r="L36" s="21"/>
      <c r="M36" s="21"/>
      <c r="N36" s="21"/>
      <c r="O36" s="21"/>
      <c r="P36" s="21"/>
      <c r="Q36" s="21"/>
      <c r="R36" s="21"/>
      <c r="S36" s="21"/>
      <c r="T36" s="21">
        <v>2026</v>
      </c>
      <c r="U36" s="21" t="s">
        <v>1316</v>
      </c>
      <c r="V36" s="21" t="s">
        <v>2060</v>
      </c>
      <c r="W36" s="21" cm="1">
        <f t="array" ref="W36">SUMPRODUCT(('📋 Inventaire Complet'!$C$3:$C$517=$V36)*(((COUNTIF($B$6:$B$10,TRUE)=0)+ISNUMBER(IFERROR(MATCH('📋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19</v>
      </c>
      <c r="X36" s="21">
        <f t="shared" si="2"/>
        <v>19.003599999999999</v>
      </c>
      <c r="Y36" s="21" t="s">
        <v>239</v>
      </c>
      <c r="Z36" cm="1">
        <f t="array" ref="Z36">IF(Y36="",0,SUMPRODUCT(('📋 Inventaire Complet'!$E$3:$E$517=Y36)*((COUNTIF($B$6:$B$10,TRUE)=0)+ISNUMBER(IFERROR(MATCH('📋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AA36" s="22">
        <f t="shared" si="1"/>
        <v>5.0035999999999996</v>
      </c>
    </row>
    <row r="37" spans="1:27" x14ac:dyDescent="0.4">
      <c r="A37" s="38" t="s">
        <v>1274</v>
      </c>
      <c r="B37" s="39" cm="1">
        <f t="array" ref="B37">SUMPRODUCT(('📋 Inventaire Complet'!$B$3:$B$517=$A37)*(((COUNTIF($D$6:$D$22,TRUE)=0)+ISNUMBER(IFERROR(MATCH(LEFT('📋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49</v>
      </c>
      <c r="C37" s="40">
        <f>IFERROR(B37/$B$40,0)</f>
        <v>0.12531969309462915</v>
      </c>
      <c r="D37" s="21"/>
      <c r="E37" s="38" t="s">
        <v>874</v>
      </c>
      <c r="F37" s="39" cm="1">
        <f t="array" ref="F37">SUMPRODUCT(('📋 Inventaire Complet'!$F$3:$F$517=$E37)*(((COUNTIF($B$6:$B$10,TRUE)=0)+ISNUMBER(IFERROR(MATCH('📋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32</v>
      </c>
      <c r="G37" s="40">
        <f t="shared" si="3"/>
        <v>8.1424936386768454E-2</v>
      </c>
      <c r="H37" s="21"/>
      <c r="I37" s="38" t="s">
        <v>1812</v>
      </c>
      <c r="J37" s="39" cm="1">
        <f t="array" ref="J37">SUMPRODUCT((ISNUMBER(SEARCH("OMPIC",'📋 Inventaire Complet'!$L$3:$L$517)))*(((COUNTIF($B$6:$B$10,TRUE)=0)+ISNUMBER(IFERROR(MATCH('📋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Complet'!$D$3:$D$517)&gt;0))</f>
        <v>56</v>
      </c>
      <c r="K37" s="40">
        <f t="shared" si="4"/>
        <v>0.14249363867684478</v>
      </c>
      <c r="L37" s="21"/>
      <c r="M37" s="21"/>
      <c r="N37" s="21"/>
      <c r="O37" s="21"/>
      <c r="P37" s="21"/>
      <c r="Q37" s="21"/>
      <c r="R37" s="21"/>
      <c r="S37" s="21"/>
      <c r="T37" s="21"/>
      <c r="U37" s="21" t="s">
        <v>1606</v>
      </c>
      <c r="V37" s="21" t="s">
        <v>2065</v>
      </c>
      <c r="W37" s="21" cm="1">
        <f t="array" ref="W37">SUMPRODUCT(('📋 Inventaire Complet'!$C$3:$C$517=$V37)*(((COUNTIF($B$6:$B$10,TRUE)=0)+ISNUMBER(IFERROR(MATCH('📋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17</v>
      </c>
      <c r="X37" s="21">
        <f t="shared" si="2"/>
        <v>17.003699999999998</v>
      </c>
      <c r="Y37" s="21" t="s">
        <v>251</v>
      </c>
      <c r="Z37" cm="1">
        <f t="array" ref="Z37">IF(Y37="",0,SUMPRODUCT(('📋 Inventaire Complet'!$E$3:$E$517=Y37)*((COUNTIF($B$6:$B$10,TRUE)=0)+ISNUMBER(IFERROR(MATCH('📋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7" s="22">
        <f t="shared" si="1"/>
        <v>1.0037</v>
      </c>
    </row>
    <row r="38" spans="1:27" x14ac:dyDescent="0.4">
      <c r="A38" s="41" t="s">
        <v>1451</v>
      </c>
      <c r="B38" s="42" cm="1">
        <f t="array" ref="B38">SUMPRODUCT(('📋 Inventaire Complet'!$B$3:$B$517=$A38)*(((COUNTIF($D$6:$D$22,TRUE)=0)+ISNUMBER(IFERROR(MATCH(LEFT('📋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51</v>
      </c>
      <c r="C38" s="43">
        <f>IFERROR(B38/$B$40,0)</f>
        <v>0.13043478260869565</v>
      </c>
      <c r="D38" s="21"/>
      <c r="E38" s="41" t="s">
        <v>93</v>
      </c>
      <c r="F38" s="42" cm="1">
        <f t="array" ref="F38">SUMPRODUCT(('📋 Inventaire Complet'!$F$3:$F$517=$E38)*(((COUNTIF($B$6:$B$10,TRUE)=0)+ISNUMBER(IFERROR(MATCH('📋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24</v>
      </c>
      <c r="G38" s="43">
        <f t="shared" si="3"/>
        <v>6.1068702290076333E-2</v>
      </c>
      <c r="H38" s="21"/>
      <c r="I38" s="41" t="s">
        <v>61</v>
      </c>
      <c r="J38" s="42" cm="1">
        <f t="array" ref="J38">SUMPRODUCT((ISNUMBER(SEARCH("Abandonné",'📋 Inventaire Complet'!$L$3:$L$517)))*(((COUNTIF($B$6:$B$10,TRUE)=0)+ISNUMBER(IFERROR(MATCH('📋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Complet'!$D$3:$D$517)&gt;0))</f>
        <v>44</v>
      </c>
      <c r="K38" s="43">
        <f t="shared" si="4"/>
        <v>0.11195928753180662</v>
      </c>
      <c r="L38" s="21"/>
      <c r="M38" s="21"/>
      <c r="N38" s="21"/>
      <c r="O38" s="21"/>
      <c r="P38" s="21"/>
      <c r="Q38" s="21"/>
      <c r="R38" s="21"/>
      <c r="S38" s="21"/>
      <c r="T38" s="21"/>
      <c r="U38" s="21" t="s">
        <v>1697</v>
      </c>
      <c r="V38" s="21" t="s">
        <v>2071</v>
      </c>
      <c r="W38" s="21" cm="1">
        <f t="array" ref="W38">SUMPRODUCT(('📋 Inventaire Complet'!$C$3:$C$517=$V38)*(((COUNTIF($B$6:$B$10,TRUE)=0)+ISNUMBER(IFERROR(MATCH('📋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X38" s="21">
        <f t="shared" si="2"/>
        <v>4.0038</v>
      </c>
      <c r="Y38" s="21" t="s">
        <v>255</v>
      </c>
      <c r="Z38" cm="1">
        <f t="array" ref="Z38">IF(Y38="",0,SUMPRODUCT(('📋 Inventaire Complet'!$E$3:$E$517=Y38)*((COUNTIF($B$6:$B$10,TRUE)=0)+ISNUMBER(IFERROR(MATCH('📋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8" s="22">
        <f t="shared" si="1"/>
        <v>1.0038</v>
      </c>
    </row>
    <row r="39" spans="1:27" x14ac:dyDescent="0.4">
      <c r="A39" s="38" t="s">
        <v>1617</v>
      </c>
      <c r="B39" s="39" cm="1">
        <f t="array" ref="B39">SUMPRODUCT(('📋 Inventaire Complet'!$B$3:$B$517=$A39)*(((COUNTIF($D$6:$D$22,TRUE)=0)+ISNUMBER(IFERROR(MATCH(LEFT('📋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29</v>
      </c>
      <c r="C39" s="40">
        <f>IFERROR(B39/$B$40,0)</f>
        <v>7.4168797953964194E-2</v>
      </c>
      <c r="D39" s="21"/>
      <c r="E39" s="38" t="s">
        <v>413</v>
      </c>
      <c r="F39" s="39" cm="1">
        <f t="array" ref="F39">SUMPRODUCT(('📋 Inventaire Complet'!$F$3:$F$517=$E39)*(((COUNTIF($B$6:$B$10,TRUE)=0)+ISNUMBER(IFERROR(MATCH('📋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11</v>
      </c>
      <c r="G39" s="40">
        <f t="shared" si="3"/>
        <v>2.7989821882951654E-2</v>
      </c>
      <c r="H39" s="21"/>
      <c r="I39" s="38" t="s">
        <v>107</v>
      </c>
      <c r="J39" s="39" cm="1">
        <f t="array" ref="J39">SUMPRODUCT((ISNUMBER(SEARCH("PCT",'📋 Inventaire Complet'!$L$3:$L$517)))*(((COUNTIF($B$6:$B$10,TRUE)=0)+ISNUMBER(IFERROR(MATCH('📋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Complet'!$D$3:$D$517)&gt;0))</f>
        <v>26</v>
      </c>
      <c r="K39" s="40">
        <f t="shared" si="4"/>
        <v>6.6157760814249358E-2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 t="s">
        <v>2073</v>
      </c>
      <c r="W39" s="21" cm="1">
        <f t="array" ref="W39">SUMPRODUCT(('📋 Inventaire Complet'!$C$3:$C$517=$V39)*(((COUNTIF($B$6:$B$10,TRUE)=0)+ISNUMBER(IFERROR(MATCH('📋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13</v>
      </c>
      <c r="X39" s="21">
        <f t="shared" si="2"/>
        <v>13.0039</v>
      </c>
      <c r="Y39" s="21" t="s">
        <v>661</v>
      </c>
      <c r="Z39" cm="1">
        <f t="array" ref="Z39">IF(Y39="",0,SUMPRODUCT(('📋 Inventaire Complet'!$E$3:$E$517=Y39)*((COUNTIF($B$6:$B$10,TRUE)=0)+ISNUMBER(IFERROR(MATCH('📋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39" s="22">
        <f t="shared" si="1"/>
        <v>1.0039</v>
      </c>
    </row>
    <row r="40" spans="1:27" ht="21" thickBot="1" x14ac:dyDescent="0.45">
      <c r="A40" s="44" t="s">
        <v>1723</v>
      </c>
      <c r="B40" s="45">
        <f>SUM(B35:B39)</f>
        <v>391</v>
      </c>
      <c r="C40" s="46">
        <f>SUM(C35:C39)</f>
        <v>1</v>
      </c>
      <c r="D40" s="21"/>
      <c r="E40" s="41" t="s">
        <v>76</v>
      </c>
      <c r="F40" s="42" cm="1">
        <f t="array" ref="F40">SUMPRODUCT(('📋 Inventaire Complet'!$F$3:$F$517=$E40)*(((COUNTIF($B$6:$B$10,TRUE)=0)+ISNUMBER(IFERROR(MATCH('📋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7</v>
      </c>
      <c r="G40" s="43">
        <f t="shared" si="3"/>
        <v>1.7811704834605598E-2</v>
      </c>
      <c r="H40" s="21"/>
      <c r="I40" s="41" t="s">
        <v>597</v>
      </c>
      <c r="J40" s="42" cm="1">
        <f t="array" ref="J40">SUMPRODUCT((ISNUMBER(SEARCH("Expiré",'📋 Inventaire Complet'!$L$3:$L$517)))*(((COUNTIF($B$6:$B$10,TRUE)=0)+ISNUMBER(IFERROR(MATCH('📋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Complet'!$D$3:$D$517)&gt;0))</f>
        <v>13</v>
      </c>
      <c r="K40" s="43">
        <f t="shared" si="4"/>
        <v>3.3078880407124679E-2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 t="s">
        <v>2090</v>
      </c>
      <c r="W40" s="21" cm="1">
        <f t="array" ref="W40">SUMPRODUCT(('📋 Inventaire Complet'!$C$3:$C$517=$V40)*(((COUNTIF($B$6:$B$10,TRUE)=0)+ISNUMBER(IFERROR(MATCH('📋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40" s="21">
        <f t="shared" si="2"/>
        <v>2.004</v>
      </c>
      <c r="Y40" s="21" t="s">
        <v>745</v>
      </c>
      <c r="Z40" cm="1">
        <f t="array" ref="Z40">IF(Y40="",0,SUMPRODUCT(('📋 Inventaire Complet'!$E$3:$E$517=Y40)*((COUNTIF($B$6:$B$10,TRUE)=0)+ISNUMBER(IFERROR(MATCH('📋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0" s="22">
        <f t="shared" si="1"/>
        <v>1.004</v>
      </c>
    </row>
    <row r="41" spans="1:27" x14ac:dyDescent="0.4">
      <c r="A41" s="21"/>
      <c r="B41" s="21"/>
      <c r="C41" s="21"/>
      <c r="D41" s="21"/>
      <c r="E41" s="38" t="s">
        <v>419</v>
      </c>
      <c r="F41" s="39" cm="1">
        <f t="array" ref="F41">SUMPRODUCT(('📋 Inventaire Complet'!$F$3:$F$517=$E41)*(((COUNTIF($B$6:$B$10,TRUE)=0)+ISNUMBER(IFERROR(MATCH('📋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7</v>
      </c>
      <c r="G41" s="40">
        <f t="shared" si="3"/>
        <v>1.7811704834605598E-2</v>
      </c>
      <c r="H41" s="21"/>
      <c r="I41" s="38" t="s">
        <v>23</v>
      </c>
      <c r="J41" s="39" cm="1">
        <f t="array" ref="J41">SUMPRODUCT((ISNUMBER(SEARCH("Non renseigné",'📋 Inventaire Complet'!$L$3:$L$517)))*(((COUNTIF($B$6:$B$10,TRUE)=0)+ISNUMBER(IFERROR(MATCH('📋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Complet'!$D$3:$D$517)&gt;0))</f>
        <v>70</v>
      </c>
      <c r="K41" s="40">
        <f t="shared" si="4"/>
        <v>0.17811704834605599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 t="s">
        <v>2093</v>
      </c>
      <c r="W41" s="21" cm="1">
        <f t="array" ref="W41">SUMPRODUCT(('📋 Inventaire Complet'!$C$3:$C$517=$V41)*(((COUNTIF($B$6:$B$10,TRUE)=0)+ISNUMBER(IFERROR(MATCH('📋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7</v>
      </c>
      <c r="X41" s="21">
        <f t="shared" si="2"/>
        <v>7.0041000000000002</v>
      </c>
      <c r="Y41" s="21" t="s">
        <v>202</v>
      </c>
      <c r="Z41" cm="1">
        <f t="array" ref="Z41">IF(Y41="",0,SUMPRODUCT(('📋 Inventaire Complet'!$E$3:$E$517=Y41)*((COUNTIF($B$6:$B$10,TRUE)=0)+ISNUMBER(IFERROR(MATCH('📋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6</v>
      </c>
      <c r="AA41" s="22">
        <f t="shared" si="1"/>
        <v>6.0041000000000002</v>
      </c>
    </row>
    <row r="42" spans="1:27" x14ac:dyDescent="0.4">
      <c r="A42" s="21"/>
      <c r="B42" s="21"/>
      <c r="C42" s="21"/>
      <c r="D42" s="21"/>
      <c r="E42" s="41" t="s">
        <v>103</v>
      </c>
      <c r="F42" s="42" cm="1">
        <f t="array" ref="F42">SUMPRODUCT(('📋 Inventaire Complet'!$F$3:$F$517=$E42)*(((COUNTIF($B$6:$B$10,TRUE)=0)+ISNUMBER(IFERROR(MATCH('📋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G42" s="43">
        <f t="shared" si="3"/>
        <v>1.0178117048346057E-2</v>
      </c>
      <c r="H42" s="21"/>
      <c r="I42" s="41" t="s">
        <v>1813</v>
      </c>
      <c r="J42" s="42">
        <f>A28-SUM(J35:J41)</f>
        <v>12</v>
      </c>
      <c r="K42" s="43">
        <f t="shared" si="4"/>
        <v>3.0534351145038167E-2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 t="s">
        <v>2100</v>
      </c>
      <c r="W42" s="21" cm="1">
        <f t="array" ref="W42">SUMPRODUCT(('📋 Inventaire Complet'!$C$3:$C$517=$V42)*(((COUNTIF($B$6:$B$10,TRUE)=0)+ISNUMBER(IFERROR(MATCH('📋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42" s="21">
        <f t="shared" si="2"/>
        <v>3.0042</v>
      </c>
      <c r="Y42" s="21" t="s">
        <v>235</v>
      </c>
      <c r="Z42" cm="1">
        <f t="array" ref="Z42">IF(Y42="",0,SUMPRODUCT(('📋 Inventaire Complet'!$E$3:$E$517=Y42)*((COUNTIF($B$6:$B$10,TRUE)=0)+ISNUMBER(IFERROR(MATCH('📋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2" s="22">
        <f t="shared" si="1"/>
        <v>1.0042</v>
      </c>
    </row>
    <row r="43" spans="1:27" ht="21" thickBot="1" x14ac:dyDescent="0.45">
      <c r="A43" s="21"/>
      <c r="B43" s="21"/>
      <c r="C43" s="21"/>
      <c r="D43" s="21"/>
      <c r="E43" s="38" t="s">
        <v>1019</v>
      </c>
      <c r="F43" s="39" cm="1">
        <f t="array" ref="F43">SUMPRODUCT(('📋 Inventaire Complet'!$F$3:$F$517=$E43)*(((COUNTIF($B$6:$B$10,TRUE)=0)+ISNUMBER(IFERROR(MATCH('📋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G43" s="40">
        <f t="shared" si="3"/>
        <v>1.0178117048346057E-2</v>
      </c>
      <c r="H43" s="21"/>
      <c r="I43" s="47" t="s">
        <v>1723</v>
      </c>
      <c r="J43" s="45">
        <f>SUM(J35:J42)</f>
        <v>393</v>
      </c>
      <c r="K43" s="46">
        <f>SUM(K35:K42)</f>
        <v>1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 t="s">
        <v>2105</v>
      </c>
      <c r="W43" s="21" cm="1">
        <f t="array" ref="W43">SUMPRODUCT(('📋 Inventaire Complet'!$C$3:$C$517=$V43)*(((COUNTIF($B$6:$B$10,TRUE)=0)+ISNUMBER(IFERROR(MATCH('📋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43" s="21">
        <f t="shared" si="2"/>
        <v>3.0043000000000002</v>
      </c>
      <c r="Y43" s="21" t="s">
        <v>583</v>
      </c>
      <c r="Z43" cm="1">
        <f t="array" ref="Z43">IF(Y43="",0,SUMPRODUCT(('📋 Inventaire Complet'!$E$3:$E$517=Y43)*((COUNTIF($B$6:$B$10,TRUE)=0)+ISNUMBER(IFERROR(MATCH('📋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3" s="22">
        <f t="shared" si="1"/>
        <v>1.0043</v>
      </c>
    </row>
    <row r="44" spans="1:27" x14ac:dyDescent="0.4">
      <c r="A44" s="21"/>
      <c r="B44" s="21"/>
      <c r="C44" s="21"/>
      <c r="D44" s="21"/>
      <c r="E44" s="41" t="s">
        <v>1282</v>
      </c>
      <c r="F44" s="42" cm="1">
        <f t="array" ref="F44">SUMPRODUCT(('📋 Inventaire Complet'!$F$3:$F$517=$E44)*(((COUNTIF($B$6:$B$10,TRUE)=0)+ISNUMBER(IFERROR(MATCH('📋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G44" s="43">
        <f t="shared" si="3"/>
        <v>1.0178117048346057E-2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 t="s">
        <v>2107</v>
      </c>
      <c r="W44" s="21" cm="1">
        <f t="array" ref="W44">SUMPRODUCT(('📋 Inventaire Complet'!$C$3:$C$517=$V44)*(((COUNTIF($B$6:$B$10,TRUE)=0)+ISNUMBER(IFERROR(MATCH('📋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44" s="21">
        <f t="shared" si="2"/>
        <v>2.0044</v>
      </c>
      <c r="Y44" s="21" t="s">
        <v>592</v>
      </c>
      <c r="Z44" cm="1">
        <f t="array" ref="Z44">IF(Y44="",0,SUMPRODUCT(('📋 Inventaire Complet'!$E$3:$E$517=Y44)*((COUNTIF($B$6:$B$10,TRUE)=0)+ISNUMBER(IFERROR(MATCH('📋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4" s="22">
        <f t="shared" si="1"/>
        <v>1.0044</v>
      </c>
    </row>
    <row r="45" spans="1:27" x14ac:dyDescent="0.4">
      <c r="A45" s="21"/>
      <c r="B45" s="21"/>
      <c r="C45" s="21"/>
      <c r="D45" s="21"/>
      <c r="E45" s="38" t="s">
        <v>180</v>
      </c>
      <c r="F45" s="39" cm="1">
        <f t="array" ref="F45">SUMPRODUCT(('📋 Inventaire Complet'!$F$3:$F$517=$E45)*(((COUNTIF($B$6:$B$10,TRUE)=0)+ISNUMBER(IFERROR(MATCH('📋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G45" s="40">
        <f t="shared" si="3"/>
        <v>7.6335877862595417E-3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 t="s">
        <v>2110</v>
      </c>
      <c r="W45" s="21" cm="1">
        <f t="array" ref="W45">SUMPRODUCT(('📋 Inventaire Complet'!$C$3:$C$517=$V45)*(((COUNTIF($B$6:$B$10,TRUE)=0)+ISNUMBER(IFERROR(MATCH('📋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X45" s="21">
        <f t="shared" si="2"/>
        <v>1.0044999999999999</v>
      </c>
      <c r="Y45" s="21" t="s">
        <v>609</v>
      </c>
      <c r="Z45" cm="1">
        <f t="array" ref="Z45">IF(Y45="",0,SUMPRODUCT(('📋 Inventaire Complet'!$E$3:$E$517=Y45)*((COUNTIF($B$6:$B$10,TRUE)=0)+ISNUMBER(IFERROR(MATCH('📋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5" s="22">
        <f t="shared" si="1"/>
        <v>1.0044999999999999</v>
      </c>
    </row>
    <row r="46" spans="1:27" x14ac:dyDescent="0.4">
      <c r="A46" s="21"/>
      <c r="B46" s="21"/>
      <c r="C46" s="21"/>
      <c r="D46" s="21"/>
      <c r="E46" s="41" t="s">
        <v>466</v>
      </c>
      <c r="F46" s="42" cm="1">
        <f t="array" ref="F46">SUMPRODUCT(('📋 Inventaire Complet'!$F$3:$F$517=$E46)*(((COUNTIF($B$6:$B$10,TRUE)=0)+ISNUMBER(IFERROR(MATCH('📋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G46" s="43">
        <f t="shared" si="3"/>
        <v>7.6335877862595417E-3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 t="s">
        <v>2112</v>
      </c>
      <c r="W46" s="21" cm="1">
        <f t="array" ref="W46">SUMPRODUCT(('📋 Inventaire Complet'!$C$3:$C$517=$V46)*(((COUNTIF($B$6:$B$10,TRUE)=0)+ISNUMBER(IFERROR(MATCH('📋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18</v>
      </c>
      <c r="X46" s="21">
        <f t="shared" si="2"/>
        <v>18.0046</v>
      </c>
      <c r="Y46" s="21" t="s">
        <v>650</v>
      </c>
      <c r="Z46" cm="1">
        <f t="array" ref="Z46">IF(Y46="",0,SUMPRODUCT(('📋 Inventaire Complet'!$E$3:$E$517=Y46)*((COUNTIF($B$6:$B$10,TRUE)=0)+ISNUMBER(IFERROR(MATCH('📋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6" s="22">
        <f t="shared" si="1"/>
        <v>1.0045999999999999</v>
      </c>
    </row>
    <row r="47" spans="1:27" x14ac:dyDescent="0.4">
      <c r="A47" s="21"/>
      <c r="B47" s="21"/>
      <c r="C47" s="21"/>
      <c r="D47" s="21"/>
      <c r="E47" s="38" t="s">
        <v>170</v>
      </c>
      <c r="F47" s="39" cm="1">
        <f t="array" ref="F47">SUMPRODUCT(('📋 Inventaire Complet'!$F$3:$F$517=$E47)*(((COUNTIF($B$6:$B$10,TRUE)=0)+ISNUMBER(IFERROR(MATCH('📋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Complet'!$D$3:$D$517)&gt;0))</f>
        <v>2</v>
      </c>
      <c r="G47" s="40">
        <f t="shared" si="3"/>
        <v>5.0890585241730284E-3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 t="s">
        <v>2127</v>
      </c>
      <c r="W47" s="21" cm="1">
        <f t="array" ref="W47">SUMPRODUCT(('📋 Inventaire Complet'!$C$3:$C$517=$V47)*(((COUNTIF($B$6:$B$10,TRUE)=0)+ISNUMBER(IFERROR(MATCH('📋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47" s="21">
        <f t="shared" si="2"/>
        <v>2.0047000000000001</v>
      </c>
      <c r="Y47" s="21" t="s">
        <v>704</v>
      </c>
      <c r="Z47" cm="1">
        <f t="array" ref="Z47">IF(Y47="",0,SUMPRODUCT(('📋 Inventaire Complet'!$E$3:$E$517=Y47)*((COUNTIF($B$6:$B$10,TRUE)=0)+ISNUMBER(IFERROR(MATCH('📋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7" s="22">
        <f t="shared" si="1"/>
        <v>1.0046999999999999</v>
      </c>
    </row>
    <row r="48" spans="1:27" x14ac:dyDescent="0.4">
      <c r="A48" s="21"/>
      <c r="B48" s="21"/>
      <c r="C48" s="21"/>
      <c r="D48" s="21"/>
      <c r="E48" s="41" t="s">
        <v>475</v>
      </c>
      <c r="F48" s="42" cm="1">
        <f t="array" ref="F48">SUMPRODUCT(('📋 Inventaire Complet'!$F$3:$F$517=$E48)*(((COUNTIF($B$6:$B$10,TRUE)=0)+ISNUMBER(IFERROR(MATCH('📋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Complet'!$D$3:$D$517)&gt;0))</f>
        <v>2</v>
      </c>
      <c r="G48" s="43">
        <f t="shared" si="3"/>
        <v>5.0890585241730284E-3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 t="s">
        <v>2130</v>
      </c>
      <c r="W48" s="21" cm="1">
        <f t="array" ref="W48">SUMPRODUCT(('📋 Inventaire Complet'!$C$3:$C$517=$V48)*(((COUNTIF($B$6:$B$10,TRUE)=0)+ISNUMBER(IFERROR(MATCH('📋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</v>
      </c>
      <c r="X48" s="21">
        <f t="shared" si="2"/>
        <v>10.004799999999999</v>
      </c>
      <c r="Y48" s="21" t="s">
        <v>812</v>
      </c>
      <c r="Z48" cm="1">
        <f t="array" ref="Z48">IF(Y48="",0,SUMPRODUCT(('📋 Inventaire Complet'!$E$3:$E$517=Y48)*((COUNTIF($B$6:$B$10,TRUE)=0)+ISNUMBER(IFERROR(MATCH('📋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8" s="22">
        <f t="shared" si="1"/>
        <v>1.0047999999999999</v>
      </c>
    </row>
    <row r="49" spans="1:27" x14ac:dyDescent="0.4">
      <c r="A49" s="21"/>
      <c r="B49" s="21"/>
      <c r="C49" s="21"/>
      <c r="D49" s="21"/>
      <c r="E49" s="38" t="s">
        <v>1809</v>
      </c>
      <c r="F49" s="39" cm="1">
        <f t="array" ref="F49">SUMPRODUCT(((('📋 Inventaire Complet'!$F$3:$F$517="D4R")+('📋 Inventaire Complet'!$F$3:$F$517="CEPH")+('📋 Inventaire Complet'!$F$3:$F$517="ISTI")+('📋 Inventaire Complet'!$F$3:$F$517="COLCOM")+('📋 Inventaire Complet'!$F$3:$F$517="HTMR"))&gt;0)*(((COUNTIF($B$6:$B$10,TRUE)=0)+ISNUMBER(IFERROR(MATCH('📋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Complet'!$J$3:$J$517,4),IF($D$6:$D$22,$C$6:$C$22&amp;""),0),""))&gt;0))*(LEN('📋 Inventaire Complet'!$D$3:$D$517)&gt;0))</f>
        <v>5</v>
      </c>
      <c r="G49" s="40">
        <f t="shared" si="3"/>
        <v>1.2722646310432569E-2</v>
      </c>
      <c r="H49" s="21"/>
      <c r="I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 t="s">
        <v>2140</v>
      </c>
      <c r="W49" s="21" cm="1">
        <f t="array" ref="W49">SUMPRODUCT(('📋 Inventaire Complet'!$C$3:$C$517=$V49)*(((COUNTIF($B$6:$B$10,TRUE)=0)+ISNUMBER(IFERROR(MATCH('📋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X49" s="21">
        <f t="shared" si="2"/>
        <v>5.0049000000000001</v>
      </c>
      <c r="Y49" s="21" t="s">
        <v>829</v>
      </c>
      <c r="Z49" cm="1">
        <f t="array" ref="Z49">IF(Y49="",0,SUMPRODUCT(('📋 Inventaire Complet'!$E$3:$E$517=Y49)*((COUNTIF($B$6:$B$10,TRUE)=0)+ISNUMBER(IFERROR(MATCH('📋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49" s="22">
        <f t="shared" si="1"/>
        <v>1.0048999999999999</v>
      </c>
    </row>
    <row r="50" spans="1:27" ht="21" thickBot="1" x14ac:dyDescent="0.45">
      <c r="A50" s="21"/>
      <c r="B50" s="21"/>
      <c r="C50" s="21"/>
      <c r="D50" s="21"/>
      <c r="E50" s="48" t="s">
        <v>1723</v>
      </c>
      <c r="F50" s="49">
        <f>SUM(F35:F49)</f>
        <v>393</v>
      </c>
      <c r="G50" s="50">
        <f>SUM(G35:G49)</f>
        <v>1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 t="s">
        <v>2146</v>
      </c>
      <c r="W50" s="21" cm="1">
        <f t="array" ref="W50">SUMPRODUCT(('📋 Inventaire Complet'!$C$3:$C$517=$V50)*(((COUNTIF($B$6:$B$10,TRUE)=0)+ISNUMBER(IFERROR(MATCH('📋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17</v>
      </c>
      <c r="X50" s="21">
        <f t="shared" si="2"/>
        <v>17.004999999999999</v>
      </c>
      <c r="Y50" s="21" t="s">
        <v>443</v>
      </c>
      <c r="Z50" cm="1">
        <f t="array" ref="Z50">IF(Y50="",0,SUMPRODUCT(('📋 Inventaire Complet'!$E$3:$E$517=Y50)*((COUNTIF($B$6:$B$10,TRUE)=0)+ISNUMBER(IFERROR(MATCH('📋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0" s="22">
        <f t="shared" si="1"/>
        <v>1.0049999999999999</v>
      </c>
    </row>
    <row r="51" spans="1:27" ht="21" thickBot="1" x14ac:dyDescent="0.45">
      <c r="A51" s="251" t="s">
        <v>1814</v>
      </c>
      <c r="B51" s="252"/>
      <c r="C51" s="252"/>
      <c r="D51" s="252"/>
      <c r="E51" s="252"/>
      <c r="F51" s="252"/>
      <c r="G51" s="25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 t="s">
        <v>2169</v>
      </c>
      <c r="W51" s="21" cm="1">
        <f t="array" ref="W51">SUMPRODUCT(('📋 Inventaire Complet'!$C$3:$C$517=$V51)*(((COUNTIF($B$6:$B$10,TRUE)=0)+ISNUMBER(IFERROR(MATCH('📋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X51" s="21">
        <f t="shared" si="2"/>
        <v>1.0051000000000001</v>
      </c>
      <c r="Y51" s="21" t="s">
        <v>391</v>
      </c>
      <c r="Z51" cm="1">
        <f t="array" ref="Z51">IF(Y51="",0,SUMPRODUCT(('📋 Inventaire Complet'!$E$3:$E$517=Y51)*((COUNTIF($B$6:$B$10,TRUE)=0)+ISNUMBER(IFERROR(MATCH('📋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1" s="22">
        <f t="shared" si="1"/>
        <v>1.0051000000000001</v>
      </c>
    </row>
    <row r="52" spans="1:27" x14ac:dyDescent="0.4">
      <c r="A52" s="51" t="s">
        <v>9</v>
      </c>
      <c r="B52" s="52" t="s">
        <v>1785</v>
      </c>
      <c r="C52" s="52" t="s">
        <v>1786</v>
      </c>
      <c r="D52" s="52" t="s">
        <v>1787</v>
      </c>
      <c r="E52" s="52" t="s">
        <v>1788</v>
      </c>
      <c r="F52" s="52" t="s">
        <v>1815</v>
      </c>
      <c r="G52" s="53" t="s">
        <v>1816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 t="s">
        <v>2171</v>
      </c>
      <c r="W52" s="21" cm="1">
        <f t="array" ref="W52">SUMPRODUCT(('📋 Inventaire Complet'!$C$3:$C$517=$V52)*(((COUNTIF($B$6:$B$10,TRUE)=0)+ISNUMBER(IFERROR(MATCH('📋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12</v>
      </c>
      <c r="X52" s="21">
        <f t="shared" si="2"/>
        <v>12.0052</v>
      </c>
      <c r="Y52" s="21" t="s">
        <v>69</v>
      </c>
      <c r="Z52" cm="1">
        <f t="array" ref="Z52">IF(Y52="",0,SUMPRODUCT(('📋 Inventaire Complet'!$E$3:$E$517=Y52)*((COUNTIF($B$6:$B$10,TRUE)=0)+ISNUMBER(IFERROR(MATCH('📋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2" s="22">
        <f t="shared" si="1"/>
        <v>1.0052000000000001</v>
      </c>
    </row>
    <row r="53" spans="1:27" x14ac:dyDescent="0.4">
      <c r="A53" s="197">
        <v>2010</v>
      </c>
      <c r="B53" s="54" cm="1">
        <f t="array" ref="B53">SUMPRODUCT((IFERROR(VALUE(LEFT('📋 Inventaire Complet'!$J$3:$J$517,4)),0)=$A53)*('📋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C53" s="54" cm="1">
        <f t="array" ref="C53">SUMPRODUCT((IFERROR(VALUE(LEFT('📋 Inventaire Complet'!$J$3:$J$517,4)),0)=$A53)*('📋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D53" s="54" cm="1">
        <f t="array" ref="D53">SUMPRODUCT((IFERROR(VALUE(LEFT('📋 Inventaire Complet'!$J$3:$J$517,4)),0)=$A53)*('📋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E53" s="54" cm="1">
        <f t="array" ref="E53">SUMPRODUCT((IFERROR(VALUE(LEFT('📋 Inventaire Complet'!$J$3:$J$517,4)),0)=$A53)*('📋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F53" s="54" cm="1">
        <f t="array" ref="F53">SUMPRODUCT((IFERROR(VALUE(LEFT('📋 Inventaire Complet'!$J$3:$J$517,4)),0)=$A53)*('📋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53" s="55">
        <f t="shared" ref="G53:G69" si="5">SUM(B53:F53)</f>
        <v>1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 t="s">
        <v>2185</v>
      </c>
      <c r="W53" s="21" cm="1">
        <f t="array" ref="W53">SUMPRODUCT(('📋 Inventaire Complet'!$C$3:$C$517=$V53)*(((COUNTIF($B$6:$B$10,TRUE)=0)+ISNUMBER(IFERROR(MATCH('📋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53" s="21">
        <f t="shared" si="2"/>
        <v>3.0053000000000001</v>
      </c>
      <c r="Y53" s="21" t="s">
        <v>401</v>
      </c>
      <c r="Z53" cm="1">
        <f t="array" ref="Z53">IF(Y53="",0,SUMPRODUCT(('📋 Inventaire Complet'!$E$3:$E$517=Y53)*((COUNTIF($B$6:$B$10,TRUE)=0)+ISNUMBER(IFERROR(MATCH('📋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3" s="22">
        <f t="shared" si="1"/>
        <v>1.0053000000000001</v>
      </c>
    </row>
    <row r="54" spans="1:27" x14ac:dyDescent="0.4">
      <c r="A54" s="198">
        <v>2011</v>
      </c>
      <c r="B54" s="56" cm="1">
        <f t="array" ref="B54">SUMPRODUCT((IFERROR(VALUE(LEFT('📋 Inventaire Complet'!$J$3:$J$517,4)),0)=$A54)*('📋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C54" s="56" cm="1">
        <f t="array" ref="C54">SUMPRODUCT((IFERROR(VALUE(LEFT('📋 Inventaire Complet'!$J$3:$J$517,4)),0)=$A54)*('📋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D54" s="56" cm="1">
        <f t="array" ref="D54">SUMPRODUCT((IFERROR(VALUE(LEFT('📋 Inventaire Complet'!$J$3:$J$517,4)),0)=$A54)*('📋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E54" s="56" cm="1">
        <f t="array" ref="E54">SUMPRODUCT((IFERROR(VALUE(LEFT('📋 Inventaire Complet'!$J$3:$J$517,4)),0)=$A54)*('📋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F54" s="56" cm="1">
        <f t="array" ref="F54">SUMPRODUCT((IFERROR(VALUE(LEFT('📋 Inventaire Complet'!$J$3:$J$517,4)),0)=$A54)*('📋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54" s="57">
        <f t="shared" si="5"/>
        <v>6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 t="s">
        <v>2189</v>
      </c>
      <c r="W54" s="21" cm="1">
        <f t="array" ref="W54">SUMPRODUCT(('📋 Inventaire Complet'!$C$3:$C$517=$V54)*(((COUNTIF($B$6:$B$10,TRUE)=0)+ISNUMBER(IFERROR(MATCH('📋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X54" s="21">
        <f t="shared" si="2"/>
        <v>1.0054000000000001</v>
      </c>
      <c r="Y54" s="21" t="s">
        <v>406</v>
      </c>
      <c r="Z54" cm="1">
        <f t="array" ref="Z54">IF(Y54="",0,SUMPRODUCT(('📋 Inventaire Complet'!$E$3:$E$517=Y54)*((COUNTIF($B$6:$B$10,TRUE)=0)+ISNUMBER(IFERROR(MATCH('📋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4" s="22">
        <f t="shared" si="1"/>
        <v>1.0054000000000001</v>
      </c>
    </row>
    <row r="55" spans="1:27" x14ac:dyDescent="0.4">
      <c r="A55" s="197">
        <v>2012</v>
      </c>
      <c r="B55" s="54" cm="1">
        <f t="array" ref="B55">SUMPRODUCT((IFERROR(VALUE(LEFT('📋 Inventaire Complet'!$J$3:$J$517,4)),0)=$A55)*('📋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C55" s="54" cm="1">
        <f t="array" ref="C55">SUMPRODUCT((IFERROR(VALUE(LEFT('📋 Inventaire Complet'!$J$3:$J$517,4)),0)=$A55)*('📋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D55" s="54" cm="1">
        <f t="array" ref="D55">SUMPRODUCT((IFERROR(VALUE(LEFT('📋 Inventaire Complet'!$J$3:$J$517,4)),0)=$A55)*('📋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E55" s="54" cm="1">
        <f t="array" ref="E55">SUMPRODUCT((IFERROR(VALUE(LEFT('📋 Inventaire Complet'!$J$3:$J$517,4)),0)=$A55)*('📋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F55" s="54" cm="1">
        <f t="array" ref="F55">SUMPRODUCT((IFERROR(VALUE(LEFT('📋 Inventaire Complet'!$J$3:$J$517,4)),0)=$A55)*('📋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55" s="55">
        <f t="shared" si="5"/>
        <v>14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 t="s">
        <v>2192</v>
      </c>
      <c r="W55" s="21" cm="1">
        <f t="array" ref="W55">SUMPRODUCT(('📋 Inventaire Complet'!$C$3:$C$517=$V55)*(((COUNTIF($B$6:$B$10,TRUE)=0)+ISNUMBER(IFERROR(MATCH('📋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6</v>
      </c>
      <c r="X55" s="21">
        <f t="shared" si="2"/>
        <v>6.0054999999999996</v>
      </c>
      <c r="Y55" s="21" t="s">
        <v>409</v>
      </c>
      <c r="Z55" cm="1">
        <f t="array" ref="Z55">IF(Y55="",0,SUMPRODUCT(('📋 Inventaire Complet'!$E$3:$E$517=Y55)*((COUNTIF($B$6:$B$10,TRUE)=0)+ISNUMBER(IFERROR(MATCH('📋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5" s="22">
        <f t="shared" si="1"/>
        <v>1.0055000000000001</v>
      </c>
    </row>
    <row r="56" spans="1:27" x14ac:dyDescent="0.4">
      <c r="A56" s="198">
        <v>2013</v>
      </c>
      <c r="B56" s="56" cm="1">
        <f t="array" ref="B56">SUMPRODUCT((IFERROR(VALUE(LEFT('📋 Inventaire Complet'!$J$3:$J$517,4)),0)=$A56)*('📋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</v>
      </c>
      <c r="C56" s="56" cm="1">
        <f t="array" ref="C56">SUMPRODUCT((IFERROR(VALUE(LEFT('📋 Inventaire Complet'!$J$3:$J$517,4)),0)=$A56)*('📋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D56" s="56" cm="1">
        <f t="array" ref="D56">SUMPRODUCT((IFERROR(VALUE(LEFT('📋 Inventaire Complet'!$J$3:$J$517,4)),0)=$A56)*('📋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E56" s="56" cm="1">
        <f t="array" ref="E56">SUMPRODUCT((IFERROR(VALUE(LEFT('📋 Inventaire Complet'!$J$3:$J$517,4)),0)=$A56)*('📋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F56" s="56" cm="1">
        <f t="array" ref="F56">SUMPRODUCT((IFERROR(VALUE(LEFT('📋 Inventaire Complet'!$J$3:$J$517,4)),0)=$A56)*('📋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56" s="57">
        <f t="shared" si="5"/>
        <v>21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 t="s">
        <v>2198</v>
      </c>
      <c r="W56" s="21" cm="1">
        <f t="array" ref="W56">SUMPRODUCT(('📋 Inventaire Complet'!$C$3:$C$517=$V56)*(((COUNTIF($B$6:$B$10,TRUE)=0)+ISNUMBER(IFERROR(MATCH('📋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56" s="21">
        <f t="shared" si="2"/>
        <v>2.0055999999999998</v>
      </c>
      <c r="Y56" s="21" t="s">
        <v>242</v>
      </c>
      <c r="Z56" cm="1">
        <f t="array" ref="Z56">IF(Y56="",0,SUMPRODUCT(('📋 Inventaire Complet'!$E$3:$E$517=Y56)*((COUNTIF($B$6:$B$10,TRUE)=0)+ISNUMBER(IFERROR(MATCH('📋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6" s="22">
        <f t="shared" si="1"/>
        <v>1.0056</v>
      </c>
    </row>
    <row r="57" spans="1:27" x14ac:dyDescent="0.4">
      <c r="A57" s="197">
        <v>2014</v>
      </c>
      <c r="B57" s="54" cm="1">
        <f t="array" ref="B57">SUMPRODUCT((IFERROR(VALUE(LEFT('📋 Inventaire Complet'!$J$3:$J$517,4)),0)=$A57)*('📋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</v>
      </c>
      <c r="C57" s="54" cm="1">
        <f t="array" ref="C57">SUMPRODUCT((IFERROR(VALUE(LEFT('📋 Inventaire Complet'!$J$3:$J$517,4)),0)=$A57)*('📋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D57" s="54" cm="1">
        <f t="array" ref="D57">SUMPRODUCT((IFERROR(VALUE(LEFT('📋 Inventaire Complet'!$J$3:$J$517,4)),0)=$A57)*('📋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E57" s="54" cm="1">
        <f t="array" ref="E57">SUMPRODUCT((IFERROR(VALUE(LEFT('📋 Inventaire Complet'!$J$3:$J$517,4)),0)=$A57)*('📋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F57" s="54" cm="1">
        <f t="array" ref="F57">SUMPRODUCT((IFERROR(VALUE(LEFT('📋 Inventaire Complet'!$J$3:$J$517,4)),0)=$A57)*('📋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G57" s="55">
        <f t="shared" si="5"/>
        <v>28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 t="s">
        <v>2200</v>
      </c>
      <c r="W57" s="21" cm="1">
        <f t="array" ref="W57">SUMPRODUCT(('📋 Inventaire Complet'!$C$3:$C$517=$V57)*(((COUNTIF($B$6:$B$10,TRUE)=0)+ISNUMBER(IFERROR(MATCH('📋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</v>
      </c>
      <c r="X57" s="21">
        <f t="shared" si="2"/>
        <v>10.005699999999999</v>
      </c>
      <c r="Y57" s="21" t="s">
        <v>264</v>
      </c>
      <c r="Z57" cm="1">
        <f t="array" ref="Z57">IF(Y57="",0,SUMPRODUCT(('📋 Inventaire Complet'!$E$3:$E$517=Y57)*((COUNTIF($B$6:$B$10,TRUE)=0)+ISNUMBER(IFERROR(MATCH('📋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7" s="22">
        <f t="shared" si="1"/>
        <v>1.0057</v>
      </c>
    </row>
    <row r="58" spans="1:27" x14ac:dyDescent="0.4">
      <c r="A58" s="198">
        <v>2015</v>
      </c>
      <c r="B58" s="56" cm="1">
        <f t="array" ref="B58">SUMPRODUCT((IFERROR(VALUE(LEFT('📋 Inventaire Complet'!$J$3:$J$517,4)),0)=$A58)*('📋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14</v>
      </c>
      <c r="C58" s="56" cm="1">
        <f t="array" ref="C58">SUMPRODUCT((IFERROR(VALUE(LEFT('📋 Inventaire Complet'!$J$3:$J$517,4)),0)=$A58)*('📋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D58" s="56" cm="1">
        <f t="array" ref="D58">SUMPRODUCT((IFERROR(VALUE(LEFT('📋 Inventaire Complet'!$J$3:$J$517,4)),0)=$A58)*('📋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E58" s="56" cm="1">
        <f t="array" ref="E58">SUMPRODUCT((IFERROR(VALUE(LEFT('📋 Inventaire Complet'!$J$3:$J$517,4)),0)=$A58)*('📋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10</v>
      </c>
      <c r="F58" s="56" cm="1">
        <f t="array" ref="F58">SUMPRODUCT((IFERROR(VALUE(LEFT('📋 Inventaire Complet'!$J$3:$J$517,4)),0)=$A58)*('📋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58" s="57">
        <f t="shared" si="5"/>
        <v>31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 t="s">
        <v>2213</v>
      </c>
      <c r="W58" s="21" cm="1">
        <f t="array" ref="W58">SUMPRODUCT(('📋 Inventaire Complet'!$C$3:$C$517=$V58)*(((COUNTIF($B$6:$B$10,TRUE)=0)+ISNUMBER(IFERROR(MATCH('📋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58" s="21">
        <f t="shared" ref="X58:X89" si="6">W58+ROW()/10000</f>
        <v>3.0057999999999998</v>
      </c>
      <c r="Y58" s="21" t="s">
        <v>267</v>
      </c>
      <c r="Z58" cm="1">
        <f t="array" ref="Z58">IF(Y58="",0,SUMPRODUCT(('📋 Inventaire Complet'!$E$3:$E$517=Y58)*((COUNTIF($B$6:$B$10,TRUE)=0)+ISNUMBER(IFERROR(MATCH('📋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AA58" s="22">
        <f t="shared" si="1"/>
        <v>5.0057999999999998</v>
      </c>
    </row>
    <row r="59" spans="1:27" x14ac:dyDescent="0.4">
      <c r="A59" s="197">
        <v>2016</v>
      </c>
      <c r="B59" s="54" cm="1">
        <f t="array" ref="B59">SUMPRODUCT((IFERROR(VALUE(LEFT('📋 Inventaire Complet'!$J$3:$J$517,4)),0)=$A59)*('📋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11</v>
      </c>
      <c r="C59" s="54" cm="1">
        <f t="array" ref="C59">SUMPRODUCT((IFERROR(VALUE(LEFT('📋 Inventaire Complet'!$J$3:$J$517,4)),0)=$A59)*('📋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D59" s="54" cm="1">
        <f t="array" ref="D59">SUMPRODUCT((IFERROR(VALUE(LEFT('📋 Inventaire Complet'!$J$3:$J$517,4)),0)=$A59)*('📋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E59" s="54" cm="1">
        <f t="array" ref="E59">SUMPRODUCT((IFERROR(VALUE(LEFT('📋 Inventaire Complet'!$J$3:$J$517,4)),0)=$A59)*('📋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F59" s="54" cm="1">
        <f t="array" ref="F59">SUMPRODUCT((IFERROR(VALUE(LEFT('📋 Inventaire Complet'!$J$3:$J$517,4)),0)=$A59)*('📋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G59" s="55">
        <f t="shared" si="5"/>
        <v>21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 t="s">
        <v>2217</v>
      </c>
      <c r="W59" s="21" cm="1">
        <f t="array" ref="W59">SUMPRODUCT(('📋 Inventaire Complet'!$C$3:$C$517=$V59)*(((COUNTIF($B$6:$B$10,TRUE)=0)+ISNUMBER(IFERROR(MATCH('📋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59" s="21">
        <f t="shared" si="6"/>
        <v>3.0059</v>
      </c>
      <c r="Y59" s="21" t="s">
        <v>123</v>
      </c>
      <c r="Z59" cm="1">
        <f t="array" ref="Z59">IF(Y59="",0,SUMPRODUCT(('📋 Inventaire Complet'!$E$3:$E$517=Y59)*((COUNTIF($B$6:$B$10,TRUE)=0)+ISNUMBER(IFERROR(MATCH('📋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59" s="22">
        <f t="shared" si="1"/>
        <v>1.0059</v>
      </c>
    </row>
    <row r="60" spans="1:27" x14ac:dyDescent="0.4">
      <c r="A60" s="198">
        <v>2017</v>
      </c>
      <c r="B60" s="56" cm="1">
        <f t="array" ref="B60">SUMPRODUCT((IFERROR(VALUE(LEFT('📋 Inventaire Complet'!$J$3:$J$517,4)),0)=$A60)*('📋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9</v>
      </c>
      <c r="C60" s="56" cm="1">
        <f t="array" ref="C60">SUMPRODUCT((IFERROR(VALUE(LEFT('📋 Inventaire Complet'!$J$3:$J$517,4)),0)=$A60)*('📋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D60" s="56" cm="1">
        <f t="array" ref="D60">SUMPRODUCT((IFERROR(VALUE(LEFT('📋 Inventaire Complet'!$J$3:$J$517,4)),0)=$A60)*('📋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E60" s="56" cm="1">
        <f t="array" ref="E60">SUMPRODUCT((IFERROR(VALUE(LEFT('📋 Inventaire Complet'!$J$3:$J$517,4)),0)=$A60)*('📋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F60" s="56" cm="1">
        <f t="array" ref="F60">SUMPRODUCT((IFERROR(VALUE(LEFT('📋 Inventaire Complet'!$J$3:$J$517,4)),0)=$A60)*('📋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60" s="57">
        <f t="shared" si="5"/>
        <v>16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 t="s">
        <v>2224</v>
      </c>
      <c r="W60" s="21" cm="1">
        <f t="array" ref="W60">SUMPRODUCT(('📋 Inventaire Complet'!$C$3:$C$517=$V60)*(((COUNTIF($B$6:$B$10,TRUE)=0)+ISNUMBER(IFERROR(MATCH('📋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X60" s="21">
        <f t="shared" si="6"/>
        <v>3.0059999999999998</v>
      </c>
      <c r="Y60" s="21" t="s">
        <v>691</v>
      </c>
      <c r="Z60" cm="1">
        <f t="array" ref="Z60">IF(Y60="",0,SUMPRODUCT(('📋 Inventaire Complet'!$E$3:$E$517=Y60)*((COUNTIF($B$6:$B$10,TRUE)=0)+ISNUMBER(IFERROR(MATCH('📋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0" s="22">
        <f t="shared" si="1"/>
        <v>1.006</v>
      </c>
    </row>
    <row r="61" spans="1:27" x14ac:dyDescent="0.4">
      <c r="A61" s="197">
        <v>2018</v>
      </c>
      <c r="B61" s="54" cm="1">
        <f t="array" ref="B61">SUMPRODUCT((IFERROR(VALUE(LEFT('📋 Inventaire Complet'!$J$3:$J$517,4)),0)=$A61)*('📋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6</v>
      </c>
      <c r="C61" s="54" cm="1">
        <f t="array" ref="C61">SUMPRODUCT((IFERROR(VALUE(LEFT('📋 Inventaire Complet'!$J$3:$J$517,4)),0)=$A61)*('📋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D61" s="54" cm="1">
        <f t="array" ref="D61">SUMPRODUCT((IFERROR(VALUE(LEFT('📋 Inventaire Complet'!$J$3:$J$517,4)),0)=$A61)*('📋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E61" s="54" cm="1">
        <f t="array" ref="E61">SUMPRODUCT((IFERROR(VALUE(LEFT('📋 Inventaire Complet'!$J$3:$J$517,4)),0)=$A61)*('📋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F61" s="54" cm="1">
        <f t="array" ref="F61">SUMPRODUCT((IFERROR(VALUE(LEFT('📋 Inventaire Complet'!$J$3:$J$517,4)),0)=$A61)*('📋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61" s="55">
        <f t="shared" si="5"/>
        <v>10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 t="s">
        <v>2225</v>
      </c>
      <c r="W61" s="21" cm="1">
        <f t="array" ref="W61">SUMPRODUCT(('📋 Inventaire Complet'!$C$3:$C$517=$V61)*(((COUNTIF($B$6:$B$10,TRUE)=0)+ISNUMBER(IFERROR(MATCH('📋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1" s="21">
        <f t="shared" si="6"/>
        <v>2.0061</v>
      </c>
      <c r="Y61" s="21" t="s">
        <v>128</v>
      </c>
      <c r="Z61" cm="1">
        <f t="array" ref="Z61">IF(Y61="",0,SUMPRODUCT(('📋 Inventaire Complet'!$E$3:$E$517=Y61)*((COUNTIF($B$6:$B$10,TRUE)=0)+ISNUMBER(IFERROR(MATCH('📋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1" s="22">
        <f t="shared" si="1"/>
        <v>1.0061</v>
      </c>
    </row>
    <row r="62" spans="1:27" x14ac:dyDescent="0.4">
      <c r="A62" s="198">
        <v>2019</v>
      </c>
      <c r="B62" s="56" cm="1">
        <f t="array" ref="B62">SUMPRODUCT((IFERROR(VALUE(LEFT('📋 Inventaire Complet'!$J$3:$J$517,4)),0)=$A62)*('📋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8</v>
      </c>
      <c r="C62" s="56" cm="1">
        <f t="array" ref="C62">SUMPRODUCT((IFERROR(VALUE(LEFT('📋 Inventaire Complet'!$J$3:$J$517,4)),0)=$A62)*('📋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D62" s="56" cm="1">
        <f t="array" ref="D62">SUMPRODUCT((IFERROR(VALUE(LEFT('📋 Inventaire Complet'!$J$3:$J$517,4)),0)=$A62)*('📋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E62" s="56" cm="1">
        <f t="array" ref="E62">SUMPRODUCT((IFERROR(VALUE(LEFT('📋 Inventaire Complet'!$J$3:$J$517,4)),0)=$A62)*('📋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F62" s="56" cm="1">
        <f t="array" ref="F62">SUMPRODUCT((IFERROR(VALUE(LEFT('📋 Inventaire Complet'!$J$3:$J$517,4)),0)=$A62)*('📋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62" s="57">
        <f t="shared" si="5"/>
        <v>15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 cm="1">
        <f t="array" ref="W62">SUMPRODUCT(('📋 Inventaire Complet'!$C$3:$C$517=$V62)*(((COUNTIF($B$6:$B$10,TRUE)=0)+ISNUMBER(IFERROR(MATCH('📋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2" s="21">
        <f t="shared" si="6"/>
        <v>2.0062000000000002</v>
      </c>
      <c r="Y62" s="21" t="s">
        <v>177</v>
      </c>
      <c r="Z62" cm="1">
        <f t="array" ref="Z62">IF(Y62="",0,SUMPRODUCT(('📋 Inventaire Complet'!$E$3:$E$517=Y62)*((COUNTIF($B$6:$B$10,TRUE)=0)+ISNUMBER(IFERROR(MATCH('📋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2" s="22">
        <f t="shared" si="1"/>
        <v>1.0062</v>
      </c>
    </row>
    <row r="63" spans="1:27" x14ac:dyDescent="0.4">
      <c r="A63" s="197">
        <v>2020</v>
      </c>
      <c r="B63" s="54" cm="1">
        <f t="array" ref="B63">SUMPRODUCT((IFERROR(VALUE(LEFT('📋 Inventaire Complet'!$J$3:$J$517,4)),0)=$A63)*('📋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6</v>
      </c>
      <c r="C63" s="54" cm="1">
        <f t="array" ref="C63">SUMPRODUCT((IFERROR(VALUE(LEFT('📋 Inventaire Complet'!$J$3:$J$517,4)),0)=$A63)*('📋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D63" s="54" cm="1">
        <f t="array" ref="D63">SUMPRODUCT((IFERROR(VALUE(LEFT('📋 Inventaire Complet'!$J$3:$J$517,4)),0)=$A63)*('📋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E63" s="54" cm="1">
        <f t="array" ref="E63">SUMPRODUCT((IFERROR(VALUE(LEFT('📋 Inventaire Complet'!$J$3:$J$517,4)),0)=$A63)*('📋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F63" s="54" cm="1">
        <f t="array" ref="F63">SUMPRODUCT((IFERROR(VALUE(LEFT('📋 Inventaire Complet'!$J$3:$J$517,4)),0)=$A63)*('📋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G63" s="55">
        <f t="shared" si="5"/>
        <v>10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 cm="1">
        <f t="array" ref="W63">SUMPRODUCT(('📋 Inventaire Complet'!$C$3:$C$517=$V63)*(((COUNTIF($B$6:$B$10,TRUE)=0)+ISNUMBER(IFERROR(MATCH('📋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3" s="21">
        <f t="shared" si="6"/>
        <v>2.0063</v>
      </c>
      <c r="Y63" s="21" t="s">
        <v>231</v>
      </c>
      <c r="Z63" cm="1">
        <f t="array" ref="Z63">IF(Y63="",0,SUMPRODUCT(('📋 Inventaire Complet'!$E$3:$E$517=Y63)*((COUNTIF($B$6:$B$10,TRUE)=0)+ISNUMBER(IFERROR(MATCH('📋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3" s="22">
        <f t="shared" si="1"/>
        <v>1.0063</v>
      </c>
    </row>
    <row r="64" spans="1:27" x14ac:dyDescent="0.4">
      <c r="A64" s="198">
        <v>2021</v>
      </c>
      <c r="B64" s="56" cm="1">
        <f t="array" ref="B64">SUMPRODUCT((IFERROR(VALUE(LEFT('📋 Inventaire Complet'!$J$3:$J$517,4)),0)=$A64)*('📋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9</v>
      </c>
      <c r="C64" s="56" cm="1">
        <f t="array" ref="C64">SUMPRODUCT((IFERROR(VALUE(LEFT('📋 Inventaire Complet'!$J$3:$J$517,4)),0)=$A64)*('📋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D64" s="56" cm="1">
        <f t="array" ref="D64">SUMPRODUCT((IFERROR(VALUE(LEFT('📋 Inventaire Complet'!$J$3:$J$517,4)),0)=$A64)*('📋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E64" s="56" cm="1">
        <f t="array" ref="E64">SUMPRODUCT((IFERROR(VALUE(LEFT('📋 Inventaire Complet'!$J$3:$J$517,4)),0)=$A64)*('📋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F64" s="56" cm="1">
        <f t="array" ref="F64">SUMPRODUCT((IFERROR(VALUE(LEFT('📋 Inventaire Complet'!$J$3:$J$517,4)),0)=$A64)*('📋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G64" s="57">
        <f t="shared" si="5"/>
        <v>14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 cm="1">
        <f t="array" ref="W64">SUMPRODUCT(('📋 Inventaire Complet'!$C$3:$C$517=$V64)*(((COUNTIF($B$6:$B$10,TRUE)=0)+ISNUMBER(IFERROR(MATCH('📋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4" s="21">
        <f t="shared" si="6"/>
        <v>2.0064000000000002</v>
      </c>
      <c r="Y64" s="21" t="s">
        <v>558</v>
      </c>
      <c r="Z64" cm="1">
        <f t="array" ref="Z64">IF(Y64="",0,SUMPRODUCT(('📋 Inventaire Complet'!$E$3:$E$517=Y64)*((COUNTIF($B$6:$B$10,TRUE)=0)+ISNUMBER(IFERROR(MATCH('📋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4" s="22">
        <f t="shared" si="1"/>
        <v>1.0064</v>
      </c>
    </row>
    <row r="65" spans="1:27" x14ac:dyDescent="0.4">
      <c r="A65" s="197">
        <v>2022</v>
      </c>
      <c r="B65" s="54" cm="1">
        <f t="array" ref="B65">SUMPRODUCT((IFERROR(VALUE(LEFT('📋 Inventaire Complet'!$J$3:$J$517,4)),0)=$A65)*('📋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7</v>
      </c>
      <c r="C65" s="54" cm="1">
        <f t="array" ref="C65">SUMPRODUCT((IFERROR(VALUE(LEFT('📋 Inventaire Complet'!$J$3:$J$517,4)),0)=$A65)*('📋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D65" s="54" cm="1">
        <f t="array" ref="D65">SUMPRODUCT((IFERROR(VALUE(LEFT('📋 Inventaire Complet'!$J$3:$J$517,4)),0)=$A65)*('📋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E65" s="54" cm="1">
        <f t="array" ref="E65">SUMPRODUCT((IFERROR(VALUE(LEFT('📋 Inventaire Complet'!$J$3:$J$517,4)),0)=$A65)*('📋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F65" s="54" cm="1">
        <f t="array" ref="F65">SUMPRODUCT((IFERROR(VALUE(LEFT('📋 Inventaire Complet'!$J$3:$J$517,4)),0)=$A65)*('📋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G65" s="55">
        <f t="shared" si="5"/>
        <v>17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 cm="1">
        <f t="array" ref="W65">SUMPRODUCT(('📋 Inventaire Complet'!$C$3:$C$517=$V65)*(((COUNTIF($B$6:$B$10,TRUE)=0)+ISNUMBER(IFERROR(MATCH('📋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5" s="21">
        <f t="shared" si="6"/>
        <v>2.0065</v>
      </c>
      <c r="Y65" s="21" t="s">
        <v>112</v>
      </c>
      <c r="Z65" cm="1">
        <f t="array" ref="Z65">IF(Y65="",0,SUMPRODUCT(('📋 Inventaire Complet'!$E$3:$E$517=Y65)*((COUNTIF($B$6:$B$10,TRUE)=0)+ISNUMBER(IFERROR(MATCH('📋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5" s="22">
        <f t="shared" si="1"/>
        <v>1.0065</v>
      </c>
    </row>
    <row r="66" spans="1:27" x14ac:dyDescent="0.4">
      <c r="A66" s="198">
        <v>2023</v>
      </c>
      <c r="B66" s="56" cm="1">
        <f t="array" ref="B66">SUMPRODUCT((IFERROR(VALUE(LEFT('📋 Inventaire Complet'!$J$3:$J$517,4)),0)=$A66)*('📋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C66" s="56" cm="1">
        <f t="array" ref="C66">SUMPRODUCT((IFERROR(VALUE(LEFT('📋 Inventaire Complet'!$J$3:$J$517,4)),0)=$A66)*('📋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D66" s="56" cm="1">
        <f t="array" ref="D66">SUMPRODUCT((IFERROR(VALUE(LEFT('📋 Inventaire Complet'!$J$3:$J$517,4)),0)=$A66)*('📋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E66" s="56" cm="1">
        <f t="array" ref="E66">SUMPRODUCT((IFERROR(VALUE(LEFT('📋 Inventaire Complet'!$J$3:$J$517,4)),0)=$A66)*('📋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F66" s="56" cm="1">
        <f t="array" ref="F66">SUMPRODUCT((IFERROR(VALUE(LEFT('📋 Inventaire Complet'!$J$3:$J$517,4)),0)=$A66)*('📋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G66" s="57">
        <f t="shared" si="5"/>
        <v>16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 cm="1">
        <f t="array" ref="W66">SUMPRODUCT(('📋 Inventaire Complet'!$C$3:$C$517=$V66)*(((COUNTIF($B$6:$B$10,TRUE)=0)+ISNUMBER(IFERROR(MATCH('📋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6" s="21">
        <f t="shared" si="6"/>
        <v>2.0066000000000002</v>
      </c>
      <c r="Y66" s="21" t="s">
        <v>669</v>
      </c>
      <c r="Z66" cm="1">
        <f t="array" ref="Z66">IF(Y66="",0,SUMPRODUCT(('📋 Inventaire Complet'!$E$3:$E$517=Y66)*((COUNTIF($B$6:$B$10,TRUE)=0)+ISNUMBER(IFERROR(MATCH('📋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6" s="22">
        <f t="shared" ref="AA66:AA129" si="7">IF(Y66="",0,Z66+ROW()/10000)</f>
        <v>1.0065999999999999</v>
      </c>
    </row>
    <row r="67" spans="1:27" x14ac:dyDescent="0.4">
      <c r="A67" s="197">
        <v>2024</v>
      </c>
      <c r="B67" s="54" cm="1">
        <f t="array" ref="B67">SUMPRODUCT((IFERROR(VALUE(LEFT('📋 Inventaire Complet'!$J$3:$J$517,4)),0)=$A67)*('📋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C67" s="54" cm="1">
        <f t="array" ref="C67">SUMPRODUCT((IFERROR(VALUE(LEFT('📋 Inventaire Complet'!$J$3:$J$517,4)),0)=$A67)*('📋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D67" s="54" cm="1">
        <f t="array" ref="D67">SUMPRODUCT((IFERROR(VALUE(LEFT('📋 Inventaire Complet'!$J$3:$J$517,4)),0)=$A67)*('📋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5</v>
      </c>
      <c r="E67" s="54" cm="1">
        <f t="array" ref="E67">SUMPRODUCT((IFERROR(VALUE(LEFT('📋 Inventaire Complet'!$J$3:$J$517,4)),0)=$A67)*('📋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F67" s="54" cm="1">
        <f t="array" ref="F67">SUMPRODUCT((IFERROR(VALUE(LEFT('📋 Inventaire Complet'!$J$3:$J$517,4)),0)=$A67)*('📋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G67" s="55">
        <f t="shared" si="5"/>
        <v>18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 cm="1">
        <f t="array" ref="W67">SUMPRODUCT(('📋 Inventaire Complet'!$C$3:$C$517=$V67)*(((COUNTIF($B$6:$B$10,TRUE)=0)+ISNUMBER(IFERROR(MATCH('📋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7" s="21">
        <f t="shared" si="6"/>
        <v>2.0066999999999999</v>
      </c>
      <c r="Y67" s="21" t="s">
        <v>688</v>
      </c>
      <c r="Z67" cm="1">
        <f t="array" ref="Z67">IF(Y67="",0,SUMPRODUCT(('📋 Inventaire Complet'!$E$3:$E$517=Y67)*((COUNTIF($B$6:$B$10,TRUE)=0)+ISNUMBER(IFERROR(MATCH('📋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7" s="22">
        <f t="shared" si="7"/>
        <v>1.0066999999999999</v>
      </c>
    </row>
    <row r="68" spans="1:27" x14ac:dyDescent="0.4">
      <c r="A68" s="198">
        <v>2025</v>
      </c>
      <c r="B68" s="56" cm="1">
        <f t="array" ref="B68">SUMPRODUCT((IFERROR(VALUE(LEFT('📋 Inventaire Complet'!$J$3:$J$517,4)),0)=$A68)*('📋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C68" s="56" cm="1">
        <f t="array" ref="C68">SUMPRODUCT((IFERROR(VALUE(LEFT('📋 Inventaire Complet'!$J$3:$J$517,4)),0)=$A68)*('📋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3</v>
      </c>
      <c r="D68" s="56" cm="1">
        <f t="array" ref="D68">SUMPRODUCT((IFERROR(VALUE(LEFT('📋 Inventaire Complet'!$J$3:$J$517,4)),0)=$A68)*('📋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8</v>
      </c>
      <c r="E68" s="56" cm="1">
        <f t="array" ref="E68">SUMPRODUCT((IFERROR(VALUE(LEFT('📋 Inventaire Complet'!$J$3:$J$517,4)),0)=$A68)*('📋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F68" s="56" cm="1">
        <f t="array" ref="F68">SUMPRODUCT((IFERROR(VALUE(LEFT('📋 Inventaire Complet'!$J$3:$J$517,4)),0)=$A68)*('📋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6</v>
      </c>
      <c r="G68" s="57">
        <f t="shared" si="5"/>
        <v>25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 cm="1">
        <f t="array" ref="W68">SUMPRODUCT(('📋 Inventaire Complet'!$C$3:$C$517=$V68)*(((COUNTIF($B$6:$B$10,TRUE)=0)+ISNUMBER(IFERROR(MATCH('📋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8" s="21">
        <f t="shared" si="6"/>
        <v>2.0068000000000001</v>
      </c>
      <c r="Y68" s="21" t="s">
        <v>694</v>
      </c>
      <c r="Z68" cm="1">
        <f t="array" ref="Z68">IF(Y68="",0,SUMPRODUCT(('📋 Inventaire Complet'!$E$3:$E$517=Y68)*((COUNTIF($B$6:$B$10,TRUE)=0)+ISNUMBER(IFERROR(MATCH('📋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8" s="22">
        <f t="shared" si="7"/>
        <v>1.0067999999999999</v>
      </c>
    </row>
    <row r="69" spans="1:27" ht="21" thickBot="1" x14ac:dyDescent="0.45">
      <c r="A69" s="199">
        <v>2026</v>
      </c>
      <c r="B69" s="58" cm="1">
        <f t="array" ref="B69">SUMPRODUCT((IFERROR(VALUE(LEFT('📋 Inventaire Complet'!$J$3:$J$517,4)),0)=$A69)*('📋 Inventaire Complet'!$B$3:$B$517="Environmental Tech &amp; Digital Mining")*(((COUNTIF($B$6:$B$10,TRUE)=0)+ISNUMBER(IFERROR(MATCH('📋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C69" s="58" cm="1">
        <f t="array" ref="C69">SUMPRODUCT((IFERROR(VALUE(LEFT('📋 Inventaire Complet'!$J$3:$J$517,4)),0)=$A69)*('📋 Inventaire Complet'!$B$3:$B$517="Mineral Processing &amp; Strategic Synthesis")*(((COUNTIF($B$6:$B$10,TRUE)=0)+ISNUMBER(IFERROR(MATCH('📋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D69" s="58" cm="1">
        <f t="array" ref="D69">SUMPRODUCT((IFERROR(VALUE(LEFT('📋 Inventaire Complet'!$J$3:$J$517,4)),0)=$A69)*('📋 Inventaire Complet'!$B$3:$B$517="Circular Chemistry &amp; Waste Valorization")*(((COUNTIF($B$6:$B$10,TRUE)=0)+ISNUMBER(IFERROR(MATCH('📋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E69" s="58" cm="1">
        <f t="array" ref="E69">SUMPRODUCT((IFERROR(VALUE(LEFT('📋 Inventaire Complet'!$J$3:$J$517,4)),0)=$A69)*('📋 Inventaire Complet'!$B$3:$B$517="Green Agriculture &amp; Biotechnology")*(((COUNTIF($B$6:$B$10,TRUE)=0)+ISNUMBER(IFERROR(MATCH('📋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F69" s="58" cm="1">
        <f t="array" ref="F69">SUMPRODUCT((IFERROR(VALUE(LEFT('📋 Inventaire Complet'!$J$3:$J$517,4)),0)=$A69)*('📋 Inventaire Complet'!$B$3:$B$517="Sustainable Energy Storage &amp; Management")*(((COUNTIF($B$6:$B$10,TRUE)=0)+ISNUMBER(IFERROR(MATCH('📋 Inventaire Complet'!$B$3:$B$517,IF($B$6:$B$10,$A$6:$A$10),0),""))&gt;0))*(((COUNTIF($F$6:$F$20,TRUE)=0)+(ISNUMBER(IFERROR(MATCH('📋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4</v>
      </c>
      <c r="G69" s="59">
        <f t="shared" si="5"/>
        <v>9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 cm="1">
        <f t="array" ref="W69">SUMPRODUCT(('📋 Inventaire Complet'!$C$3:$C$517=$V69)*(((COUNTIF($B$6:$B$10,TRUE)=0)+ISNUMBER(IFERROR(MATCH('📋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69" s="21">
        <f t="shared" si="6"/>
        <v>2.0068999999999999</v>
      </c>
      <c r="Y69" s="21" t="s">
        <v>698</v>
      </c>
      <c r="Z69" cm="1">
        <f t="array" ref="Z69">IF(Y69="",0,SUMPRODUCT(('📋 Inventaire Complet'!$E$3:$E$517=Y69)*((COUNTIF($B$6:$B$10,TRUE)=0)+ISNUMBER(IFERROR(MATCH('📋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69" s="22">
        <f t="shared" si="7"/>
        <v>1.0068999999999999</v>
      </c>
    </row>
    <row r="70" spans="1:27" ht="21" thickBot="1" x14ac:dyDescent="0.4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 cm="1">
        <f t="array" ref="W70">SUMPRODUCT(('📋 Inventaire Complet'!$C$3:$C$517=$V70)*(((COUNTIF($B$6:$B$10,TRUE)=0)+ISNUMBER(IFERROR(MATCH('📋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0" s="21">
        <f t="shared" si="6"/>
        <v>2.0070000000000001</v>
      </c>
      <c r="Y70" s="21" t="s">
        <v>701</v>
      </c>
      <c r="Z70" cm="1">
        <f t="array" ref="Z70">IF(Y70="",0,SUMPRODUCT(('📋 Inventaire Complet'!$E$3:$E$517=Y70)*((COUNTIF($B$6:$B$10,TRUE)=0)+ISNUMBER(IFERROR(MATCH('📋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0" s="22">
        <f t="shared" si="7"/>
        <v>1.0069999999999999</v>
      </c>
    </row>
    <row r="71" spans="1:27" ht="21" thickBot="1" x14ac:dyDescent="0.45">
      <c r="A71" s="243" t="s">
        <v>2422</v>
      </c>
      <c r="B71" s="244"/>
      <c r="C71" s="244"/>
      <c r="D71" s="244"/>
      <c r="E71" s="245"/>
      <c r="F71" s="21"/>
      <c r="G71" s="248" t="s">
        <v>2423</v>
      </c>
      <c r="H71" s="249"/>
      <c r="I71" s="250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 cm="1">
        <f t="array" ref="W71">SUMPRODUCT(('📋 Inventaire Complet'!$C$3:$C$517=$V71)*(((COUNTIF($B$6:$B$10,TRUE)=0)+ISNUMBER(IFERROR(MATCH('📋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1" s="21">
        <f t="shared" si="6"/>
        <v>2.0070999999999999</v>
      </c>
      <c r="Y71" s="21" t="s">
        <v>136</v>
      </c>
      <c r="Z71" cm="1">
        <f t="array" ref="Z71">IF(Y71="",0,SUMPRODUCT(('📋 Inventaire Complet'!$E$3:$E$517=Y71)*((COUNTIF($B$6:$B$10,TRUE)=0)+ISNUMBER(IFERROR(MATCH('📋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1" s="22">
        <f t="shared" si="7"/>
        <v>1.0071000000000001</v>
      </c>
    </row>
    <row r="72" spans="1:27" x14ac:dyDescent="0.4">
      <c r="A72" s="35" t="s">
        <v>1817</v>
      </c>
      <c r="B72" s="36" t="s">
        <v>2</v>
      </c>
      <c r="C72" s="36" t="s">
        <v>1783</v>
      </c>
      <c r="D72" s="36" t="s">
        <v>1818</v>
      </c>
      <c r="E72" s="37" t="s">
        <v>1819</v>
      </c>
      <c r="F72" s="21"/>
      <c r="G72" s="60" t="s">
        <v>1817</v>
      </c>
      <c r="H72" s="61" t="s">
        <v>1821</v>
      </c>
      <c r="I72" s="62" t="s">
        <v>1820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 cm="1">
        <f t="array" ref="W72">SUMPRODUCT(('📋 Inventaire Complet'!$C$3:$C$517=$V72)*(((COUNTIF($B$6:$B$10,TRUE)=0)+ISNUMBER(IFERROR(MATCH('📋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2" s="21">
        <f t="shared" si="6"/>
        <v>2.0072000000000001</v>
      </c>
      <c r="Y72" s="21" t="s">
        <v>140</v>
      </c>
      <c r="Z72" cm="1">
        <f t="array" ref="Z72">IF(Y72="",0,SUMPRODUCT(('📋 Inventaire Complet'!$E$3:$E$517=Y72)*((COUNTIF($B$6:$B$10,TRUE)=0)+ISNUMBER(IFERROR(MATCH('📋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2" s="22">
        <f t="shared" si="7"/>
        <v>1.0072000000000001</v>
      </c>
    </row>
    <row r="73" spans="1:27" x14ac:dyDescent="0.4">
      <c r="A73" s="63">
        <v>1</v>
      </c>
      <c r="B73" s="64" t="str">
        <f t="shared" ref="B73:B92" si="8">IFERROR(INDEX($V$1:$V$98,MATCH(LARGE($X$1:$X$98,$A73),$X$1:$X$98,0)),"")</f>
        <v>Purification/démétallisation de l’acide phosphorique</v>
      </c>
      <c r="C73" s="65">
        <f t="shared" ref="C73:C92" si="9">IFERROR(INDEX($W$1:$W$98,MATCH(LARGE($X$1:$X$98,$A73),$X$1:$X$98,0)),0)</f>
        <v>19</v>
      </c>
      <c r="D73" s="66">
        <f t="shared" ref="D73:D92" si="10">IFERROR(C73/SUM($W$1:$W$98),0)</f>
        <v>5.6547619047619048E-2</v>
      </c>
      <c r="E73" s="67" t="str" cm="1">
        <f t="array" ref="E73">IFERROR(IF(C73=0,"-",IF(SUMPRODUCT(('📋 Inventaire Complet'!$C$3:$C$517=$B73)*(ISNUMBER(SEARCH("Maintenu",'📋 Inventaire Complet'!$L$3:$L$517))))/C73&gt;0.4,"🔵 Maintenu",IF(SUMPRODUCT(('📋 Inventaire Complet'!$C$3:$C$517=$B73)*(ISNUMBER(SEARCH("Délivré",'📋 Inventaire Complet'!$L$3:$L$517))))/C73&gt;0.3,"✅ Délivré",IF(SUMPRODUCT(('📋 Inventaire Complet'!$C$3:$C$517=$B73)*(ISNUMBER(SEARCH("Abandonné",'📋 Inventaire Complet'!$L$3:$L$517))))/C73&gt;0.3,"🔴 Abandonné","🟡 OMPIC / Mixte")))),"-")</f>
        <v>✅ Délivré</v>
      </c>
      <c r="F73" s="21"/>
      <c r="G73" s="73">
        <v>1</v>
      </c>
      <c r="H73" s="64" t="str">
        <f t="shared" ref="H73:H92" si="11">IFERROR(INDEX($Y$1:$Y$218,MATCH(LARGE($AA$1:$AA$218,G73),$AA$1:$AA$218,0)),"")</f>
        <v>BELAICHE, BRICHE, REDOUANY, MOUHIB</v>
      </c>
      <c r="I73" s="74">
        <f t="shared" ref="I73:I92" si="12">IFERROR(INDEX($Z$1:$Z$218,MATCH(LARGE($AA$1:$AA$218,G73),$AA$1:$AA$218,0)),"")</f>
        <v>6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 cm="1">
        <f t="array" ref="W73">SUMPRODUCT(('📋 Inventaire Complet'!$C$3:$C$517=$V73)*(((COUNTIF($B$6:$B$10,TRUE)=0)+ISNUMBER(IFERROR(MATCH('📋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3" s="21">
        <f t="shared" si="6"/>
        <v>2.0072999999999999</v>
      </c>
      <c r="Y73" s="21" t="s">
        <v>144</v>
      </c>
      <c r="Z73" cm="1">
        <f t="array" ref="Z73">IF(Y73="",0,SUMPRODUCT(('📋 Inventaire Complet'!$E$3:$E$517=Y73)*((COUNTIF($B$6:$B$10,TRUE)=0)+ISNUMBER(IFERROR(MATCH('📋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3" s="22">
        <f t="shared" si="7"/>
        <v>1.0073000000000001</v>
      </c>
    </row>
    <row r="74" spans="1:27" x14ac:dyDescent="0.4">
      <c r="A74" s="68">
        <v>2</v>
      </c>
      <c r="B74" s="69" t="str">
        <f t="shared" si="8"/>
        <v>Vision artificielle, trafic &amp; inspection</v>
      </c>
      <c r="C74" s="70">
        <f t="shared" si="9"/>
        <v>19</v>
      </c>
      <c r="D74" s="71">
        <f t="shared" si="10"/>
        <v>5.6547619047619048E-2</v>
      </c>
      <c r="E74" s="72" t="str" cm="1">
        <f t="array" ref="E74">IFERROR(IF(C74=0,"-",IF(SUMPRODUCT(('📋 Inventaire Complet'!$C$3:$C$517=$B74)*(ISNUMBER(SEARCH("Maintenu",'📋 Inventaire Complet'!$L$3:$L$517))))/C74&gt;0.4,"🔵 Maintenu",IF(SUMPRODUCT(('📋 Inventaire Complet'!$C$3:$C$517=$B74)*(ISNUMBER(SEARCH("Délivré",'📋 Inventaire Complet'!$L$3:$L$517))))/C74&gt;0.3,"✅ Délivré",IF(SUMPRODUCT(('📋 Inventaire Complet'!$C$3:$C$517=$B74)*(ISNUMBER(SEARCH("Abandonné",'📋 Inventaire Complet'!$L$3:$L$517))))/C74&gt;0.3,"🔴 Abandonné","🟡 OMPIC / Mixte")))),"-")</f>
        <v>🔵 Maintenu</v>
      </c>
      <c r="F74" s="21"/>
      <c r="G74" s="75">
        <v>2</v>
      </c>
      <c r="H74" s="64" t="str">
        <f t="shared" si="11"/>
        <v>BOUHFID Rachid Qaiss Abou el kacem</v>
      </c>
      <c r="I74" s="74">
        <f t="shared" si="12"/>
        <v>5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 cm="1">
        <f t="array" ref="W74">SUMPRODUCT(('📋 Inventaire Complet'!$C$3:$C$517=$V74)*(((COUNTIF($B$6:$B$10,TRUE)=0)+ISNUMBER(IFERROR(MATCH('📋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4" s="21">
        <f t="shared" si="6"/>
        <v>2.0074000000000001</v>
      </c>
      <c r="Y74" s="21" t="s">
        <v>715</v>
      </c>
      <c r="Z74" cm="1">
        <f t="array" ref="Z74">IF(Y74="",0,SUMPRODUCT(('📋 Inventaire Complet'!$E$3:$E$517=Y74)*((COUNTIF($B$6:$B$10,TRUE)=0)+ISNUMBER(IFERROR(MATCH('📋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4" s="22">
        <f t="shared" si="7"/>
        <v>1.0074000000000001</v>
      </c>
    </row>
    <row r="75" spans="1:27" x14ac:dyDescent="0.4">
      <c r="A75" s="63">
        <v>3</v>
      </c>
      <c r="B75" s="64" t="str">
        <f t="shared" si="8"/>
        <v>Valorisation du phosphogypse</v>
      </c>
      <c r="C75" s="65">
        <f t="shared" si="9"/>
        <v>18</v>
      </c>
      <c r="D75" s="66">
        <f t="shared" si="10"/>
        <v>5.3571428571428568E-2</v>
      </c>
      <c r="E75" s="67" t="str" cm="1">
        <f t="array" ref="E75">IFERROR(IF(C75=0,"-",IF(SUMPRODUCT(('📋 Inventaire Complet'!$C$3:$C$517=$B75)*(ISNUMBER(SEARCH("Maintenu",'📋 Inventaire Complet'!$L$3:$L$517))))/C75&gt;0.4,"🔵 Maintenu",IF(SUMPRODUCT(('📋 Inventaire Complet'!$C$3:$C$517=$B75)*(ISNUMBER(SEARCH("Délivré",'📋 Inventaire Complet'!$L$3:$L$517))))/C75&gt;0.3,"✅ Délivré",IF(SUMPRODUCT(('📋 Inventaire Complet'!$C$3:$C$517=$B75)*(ISNUMBER(SEARCH("Abandonné",'📋 Inventaire Complet'!$L$3:$L$517))))/C75&gt;0.3,"🔴 Abandonné","🟡 OMPIC / Mixte")))),"-")</f>
        <v>🟡 OMPIC / Mixte</v>
      </c>
      <c r="F75" s="21"/>
      <c r="G75" s="73">
        <v>3</v>
      </c>
      <c r="H75" s="64" t="str">
        <f t="shared" si="11"/>
        <v>BOUHFID RACHID QAISS ABOU EL KACEM</v>
      </c>
      <c r="I75" s="74">
        <f t="shared" si="12"/>
        <v>5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 cm="1">
        <f t="array" ref="W75">SUMPRODUCT(('📋 Inventaire Complet'!$C$3:$C$517=$V75)*(((COUNTIF($B$6:$B$10,TRUE)=0)+ISNUMBER(IFERROR(MATCH('📋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5" s="21">
        <f t="shared" si="6"/>
        <v>2.0074999999999998</v>
      </c>
      <c r="Y75" s="21" t="s">
        <v>719</v>
      </c>
      <c r="Z75" cm="1">
        <f t="array" ref="Z75">IF(Y75="",0,SUMPRODUCT(('📋 Inventaire Complet'!$E$3:$E$517=Y75)*((COUNTIF($B$6:$B$10,TRUE)=0)+ISNUMBER(IFERROR(MATCH('📋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5" s="22">
        <f t="shared" si="7"/>
        <v>1.0075000000000001</v>
      </c>
    </row>
    <row r="76" spans="1:27" x14ac:dyDescent="0.4">
      <c r="A76" s="68">
        <v>4</v>
      </c>
      <c r="B76" s="69" t="str">
        <f t="shared" si="8"/>
        <v>Ferrites, nanomatériaux magnétiques &amp; magnétocaloriques</v>
      </c>
      <c r="C76" s="70">
        <f t="shared" si="9"/>
        <v>18</v>
      </c>
      <c r="D76" s="71">
        <f t="shared" si="10"/>
        <v>5.3571428571428568E-2</v>
      </c>
      <c r="E76" s="72" t="str" cm="1">
        <f t="array" ref="E76">IFERROR(IF(C76=0,"-",IF(SUMPRODUCT(('📋 Inventaire Complet'!$C$3:$C$517=$B76)*(ISNUMBER(SEARCH("Maintenu",'📋 Inventaire Complet'!$L$3:$L$517))))/C76&gt;0.4,"🔵 Maintenu",IF(SUMPRODUCT(('📋 Inventaire Complet'!$C$3:$C$517=$B76)*(ISNUMBER(SEARCH("Délivré",'📋 Inventaire Complet'!$L$3:$L$517))))/C76&gt;0.3,"✅ Délivré",IF(SUMPRODUCT(('📋 Inventaire Complet'!$C$3:$C$517=$B76)*(ISNUMBER(SEARCH("Abandonné",'📋 Inventaire Complet'!$L$3:$L$517))))/C76&gt;0.3,"🔴 Abandonné","🟡 OMPIC / Mixte")))),"-")</f>
        <v>🔵 Maintenu</v>
      </c>
      <c r="F76" s="21"/>
      <c r="G76" s="75">
        <v>4</v>
      </c>
      <c r="H76" s="64" t="str">
        <f t="shared" si="11"/>
        <v>AIT BENHASSOU, BENTALEB, SEFRIOUI</v>
      </c>
      <c r="I76" s="74">
        <f t="shared" si="12"/>
        <v>4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 cm="1">
        <f t="array" ref="W76">SUMPRODUCT(('📋 Inventaire Complet'!$C$3:$C$517=$V76)*(((COUNTIF($B$6:$B$10,TRUE)=0)+ISNUMBER(IFERROR(MATCH('📋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6" s="21">
        <f t="shared" si="6"/>
        <v>2.0076000000000001</v>
      </c>
      <c r="Y76" s="21" t="s">
        <v>148</v>
      </c>
      <c r="Z76" cm="1">
        <f t="array" ref="Z76">IF(Y76="",0,SUMPRODUCT(('📋 Inventaire Complet'!$E$3:$E$517=Y76)*((COUNTIF($B$6:$B$10,TRUE)=0)+ISNUMBER(IFERROR(MATCH('📋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6" s="22">
        <f t="shared" si="7"/>
        <v>1.0076000000000001</v>
      </c>
    </row>
    <row r="77" spans="1:27" x14ac:dyDescent="0.4">
      <c r="A77" s="63">
        <v>5</v>
      </c>
      <c r="B77" s="64" t="str">
        <f t="shared" si="8"/>
        <v>Diagnostic moléculaire &amp; kits qPCR/LAMP</v>
      </c>
      <c r="C77" s="65">
        <f t="shared" si="9"/>
        <v>17</v>
      </c>
      <c r="D77" s="66">
        <f t="shared" si="10"/>
        <v>5.0595238095238096E-2</v>
      </c>
      <c r="E77" s="67" t="str" cm="1">
        <f t="array" ref="E77">IFERROR(IF(C77=0,"-",IF(SUMPRODUCT(('📋 Inventaire Complet'!$C$3:$C$517=$B77)*(ISNUMBER(SEARCH("Maintenu",'📋 Inventaire Complet'!$L$3:$L$517))))/C77&gt;0.4,"🔵 Maintenu",IF(SUMPRODUCT(('📋 Inventaire Complet'!$C$3:$C$517=$B77)*(ISNUMBER(SEARCH("Délivré",'📋 Inventaire Complet'!$L$3:$L$517))))/C77&gt;0.3,"✅ Délivré",IF(SUMPRODUCT(('📋 Inventaire Complet'!$C$3:$C$517=$B77)*(ISNUMBER(SEARCH("Abandonné",'📋 Inventaire Complet'!$L$3:$L$517))))/C77&gt;0.3,"🔴 Abandonné","🟡 OMPIC / Mixte")))),"-")</f>
        <v>🔵 Maintenu</v>
      </c>
      <c r="F77" s="21"/>
      <c r="G77" s="75">
        <v>5</v>
      </c>
      <c r="H77" s="64" t="str">
        <f t="shared" si="11"/>
        <v>El Arroussi, Meftah Kadmiri, Elbaouchi, Wahby</v>
      </c>
      <c r="I77" s="74">
        <f t="shared" si="12"/>
        <v>2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 cm="1">
        <f t="array" ref="W77">SUMPRODUCT(('📋 Inventaire Complet'!$C$3:$C$517=$V77)*(((COUNTIF($B$6:$B$10,TRUE)=0)+ISNUMBER(IFERROR(MATCH('📋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7" s="21">
        <f t="shared" si="6"/>
        <v>2.0076999999999998</v>
      </c>
      <c r="Y77" s="21" t="s">
        <v>724</v>
      </c>
      <c r="Z77" cm="1">
        <f t="array" ref="Z77">IF(Y77="",0,SUMPRODUCT(('📋 Inventaire Complet'!$E$3:$E$517=Y77)*((COUNTIF($B$6:$B$10,TRUE)=0)+ISNUMBER(IFERROR(MATCH('📋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7" s="22">
        <f t="shared" si="7"/>
        <v>1.0077</v>
      </c>
    </row>
    <row r="78" spans="1:27" x14ac:dyDescent="0.4">
      <c r="A78" s="68">
        <v>6</v>
      </c>
      <c r="B78" s="69" t="str">
        <f t="shared" si="8"/>
        <v>Récupération terres rares, uranium &amp; métaux critiques</v>
      </c>
      <c r="C78" s="70">
        <f t="shared" si="9"/>
        <v>17</v>
      </c>
      <c r="D78" s="71">
        <f t="shared" si="10"/>
        <v>5.0595238095238096E-2</v>
      </c>
      <c r="E78" s="72" t="str" cm="1">
        <f t="array" ref="E78">IFERROR(IF(C78=0,"-",IF(SUMPRODUCT(('📋 Inventaire Complet'!$C$3:$C$517=$B78)*(ISNUMBER(SEARCH("Maintenu",'📋 Inventaire Complet'!$L$3:$L$517))))/C78&gt;0.4,"🔵 Maintenu",IF(SUMPRODUCT(('📋 Inventaire Complet'!$C$3:$C$517=$B78)*(ISNUMBER(SEARCH("Délivré",'📋 Inventaire Complet'!$L$3:$L$517))))/C78&gt;0.3,"✅ Délivré",IF(SUMPRODUCT(('📋 Inventaire Complet'!$C$3:$C$517=$B78)*(ISNUMBER(SEARCH("Abandonné",'📋 Inventaire Complet'!$L$3:$L$517))))/C78&gt;0.3,"🔴 Abandonné","🟡 OMPIC / Mixte")))),"-")</f>
        <v>🔴 Abandonné</v>
      </c>
      <c r="F78" s="21"/>
      <c r="G78" s="73">
        <v>6</v>
      </c>
      <c r="H78" s="64" t="str">
        <f t="shared" si="11"/>
        <v>qaiss abou el kacem bouhfid rachid</v>
      </c>
      <c r="I78" s="74">
        <f t="shared" si="12"/>
        <v>2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 cm="1">
        <f t="array" ref="W78">SUMPRODUCT(('📋 Inventaire Complet'!$C$3:$C$517=$V78)*(((COUNTIF($B$6:$B$10,TRUE)=0)+ISNUMBER(IFERROR(MATCH('📋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8" s="21">
        <f t="shared" si="6"/>
        <v>2.0078</v>
      </c>
      <c r="Y78" s="21" t="s">
        <v>732</v>
      </c>
      <c r="Z78" cm="1">
        <f t="array" ref="Z78">IF(Y78="",0,SUMPRODUCT(('📋 Inventaire Complet'!$E$3:$E$517=Y78)*((COUNTIF($B$6:$B$10,TRUE)=0)+ISNUMBER(IFERROR(MATCH('📋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8" s="22">
        <f t="shared" si="7"/>
        <v>1.0078</v>
      </c>
    </row>
    <row r="79" spans="1:27" x14ac:dyDescent="0.4">
      <c r="A79" s="63">
        <v>7</v>
      </c>
      <c r="B79" s="64" t="str">
        <f t="shared" si="8"/>
        <v>Fertilisants phosphatés &amp; sels de phosphate</v>
      </c>
      <c r="C79" s="65">
        <f t="shared" si="9"/>
        <v>17</v>
      </c>
      <c r="D79" s="66">
        <f t="shared" si="10"/>
        <v>5.0595238095238096E-2</v>
      </c>
      <c r="E79" s="67" t="str" cm="1">
        <f t="array" ref="E79">IFERROR(IF(C79=0,"-",IF(SUMPRODUCT(('📋 Inventaire Complet'!$C$3:$C$517=$B79)*(ISNUMBER(SEARCH("Maintenu",'📋 Inventaire Complet'!$L$3:$L$517))))/C79&gt;0.4,"🔵 Maintenu",IF(SUMPRODUCT(('📋 Inventaire Complet'!$C$3:$C$517=$B79)*(ISNUMBER(SEARCH("Délivré",'📋 Inventaire Complet'!$L$3:$L$517))))/C79&gt;0.3,"✅ Délivré",IF(SUMPRODUCT(('📋 Inventaire Complet'!$C$3:$C$517=$B79)*(ISNUMBER(SEARCH("Abandonné",'📋 Inventaire Complet'!$L$3:$L$517))))/C79&gt;0.3,"🔴 Abandonné","🟡 OMPIC / Mixte")))),"-")</f>
        <v>🔴 Abandonné</v>
      </c>
      <c r="F79" s="21"/>
      <c r="G79" s="75">
        <v>7</v>
      </c>
      <c r="H79" s="64" t="str">
        <f t="shared" si="11"/>
        <v>BOUHFID Rachid QAISS Abou El Kacem ESSABIR Hamid</v>
      </c>
      <c r="I79" s="74">
        <f t="shared" si="12"/>
        <v>2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 cm="1">
        <f t="array" ref="W79">SUMPRODUCT(('📋 Inventaire Complet'!$C$3:$C$517=$V79)*(((COUNTIF($B$6:$B$10,TRUE)=0)+ISNUMBER(IFERROR(MATCH('📋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79" s="21">
        <f t="shared" si="6"/>
        <v>2.0078999999999998</v>
      </c>
      <c r="Y79" s="21" t="s">
        <v>737</v>
      </c>
      <c r="Z79" cm="1">
        <f t="array" ref="Z79">IF(Y79="",0,SUMPRODUCT(('📋 Inventaire Complet'!$E$3:$E$517=Y79)*((COUNTIF($B$6:$B$10,TRUE)=0)+ISNUMBER(IFERROR(MATCH('📋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79" s="22">
        <f t="shared" si="7"/>
        <v>1.0079</v>
      </c>
    </row>
    <row r="80" spans="1:27" x14ac:dyDescent="0.4">
      <c r="A80" s="68">
        <v>8</v>
      </c>
      <c r="B80" s="69" t="str">
        <f t="shared" si="8"/>
        <v>Biomasse, biopolymères &amp; matériaux biosourcés</v>
      </c>
      <c r="C80" s="70">
        <f t="shared" si="9"/>
        <v>13</v>
      </c>
      <c r="D80" s="71">
        <f t="shared" si="10"/>
        <v>3.8690476190476192E-2</v>
      </c>
      <c r="E80" s="72" t="str" cm="1">
        <f t="array" ref="E80">IFERROR(IF(C80=0,"-",IF(SUMPRODUCT(('📋 Inventaire Complet'!$C$3:$C$517=$B80)*(ISNUMBER(SEARCH("Maintenu",'📋 Inventaire Complet'!$L$3:$L$517))))/C80&gt;0.4,"🔵 Maintenu",IF(SUMPRODUCT(('📋 Inventaire Complet'!$C$3:$C$517=$B80)*(ISNUMBER(SEARCH("Délivré",'📋 Inventaire Complet'!$L$3:$L$517))))/C80&gt;0.3,"✅ Délivré",IF(SUMPRODUCT(('📋 Inventaire Complet'!$C$3:$C$517=$B80)*(ISNUMBER(SEARCH("Abandonné",'📋 Inventaire Complet'!$L$3:$L$517))))/C80&gt;0.3,"🔴 Abandonné","🟡 OMPIC / Mixte")))),"-")</f>
        <v>🟡 OMPIC / Mixte</v>
      </c>
      <c r="F80" s="21"/>
      <c r="G80" s="75">
        <v>8</v>
      </c>
      <c r="H80" s="64" t="str">
        <f t="shared" si="11"/>
        <v>BOUHFID RACHID QAISS ABOU EL KACEM ESSABIR HAMID</v>
      </c>
      <c r="I80" s="74">
        <f t="shared" si="12"/>
        <v>2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 cm="1">
        <f t="array" ref="W80">SUMPRODUCT(('📋 Inventaire Complet'!$C$3:$C$517=$V80)*(((COUNTIF($B$6:$B$10,TRUE)=0)+ISNUMBER(IFERROR(MATCH('📋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0" s="21">
        <f t="shared" si="6"/>
        <v>2.008</v>
      </c>
      <c r="Y80" s="21" t="s">
        <v>742</v>
      </c>
      <c r="Z80" cm="1">
        <f t="array" ref="Z80">IF(Y80="",0,SUMPRODUCT(('📋 Inventaire Complet'!$E$3:$E$517=Y80)*((COUNTIF($B$6:$B$10,TRUE)=0)+ISNUMBER(IFERROR(MATCH('📋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0" s="22">
        <f t="shared" si="7"/>
        <v>1.008</v>
      </c>
    </row>
    <row r="81" spans="1:27" x14ac:dyDescent="0.4">
      <c r="A81" s="63">
        <v>9</v>
      </c>
      <c r="B81" s="64" t="str">
        <f t="shared" si="8"/>
        <v>Microalgues, macroalgues &amp; extraits végétaux bioactifs</v>
      </c>
      <c r="C81" s="65">
        <f t="shared" si="9"/>
        <v>12</v>
      </c>
      <c r="D81" s="66">
        <f t="shared" si="10"/>
        <v>3.5714285714285712E-2</v>
      </c>
      <c r="E81" s="67" t="str" cm="1">
        <f t="array" ref="E81">IFERROR(IF(C81=0,"-",IF(SUMPRODUCT(('📋 Inventaire Complet'!$C$3:$C$517=$B81)*(ISNUMBER(SEARCH("Maintenu",'📋 Inventaire Complet'!$L$3:$L$517))))/C81&gt;0.4,"🔵 Maintenu",IF(SUMPRODUCT(('📋 Inventaire Complet'!$C$3:$C$517=$B81)*(ISNUMBER(SEARCH("Délivré",'📋 Inventaire Complet'!$L$3:$L$517))))/C81&gt;0.3,"✅ Délivré",IF(SUMPRODUCT(('📋 Inventaire Complet'!$C$3:$C$517=$B81)*(ISNUMBER(SEARCH("Abandonné",'📋 Inventaire Complet'!$L$3:$L$517))))/C81&gt;0.3,"🔴 Abandonné","🟡 OMPIC / Mixte")))),"-")</f>
        <v>🔵 Maintenu</v>
      </c>
      <c r="F81" s="21"/>
      <c r="G81" s="75">
        <v>9</v>
      </c>
      <c r="H81" s="64" t="str">
        <f t="shared" si="11"/>
        <v>Qaiss Abou el kacem Bouhfid Rachid</v>
      </c>
      <c r="I81" s="74">
        <f t="shared" si="12"/>
        <v>2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 cm="1">
        <f t="array" ref="W81">SUMPRODUCT(('📋 Inventaire Complet'!$C$3:$C$517=$V81)*(((COUNTIF($B$6:$B$10,TRUE)=0)+ISNUMBER(IFERROR(MATCH('📋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1" s="21">
        <f t="shared" si="6"/>
        <v>2.0081000000000002</v>
      </c>
      <c r="Y81" s="21" t="s">
        <v>748</v>
      </c>
      <c r="Z81" cm="1">
        <f t="array" ref="Z81">IF(Y81="",0,SUMPRODUCT(('📋 Inventaire Complet'!$E$3:$E$517=Y81)*((COUNTIF($B$6:$B$10,TRUE)=0)+ISNUMBER(IFERROR(MATCH('📋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1" s="22">
        <f t="shared" si="7"/>
        <v>1.0081</v>
      </c>
    </row>
    <row r="82" spans="1:27" x14ac:dyDescent="0.4">
      <c r="A82" s="68">
        <v>10</v>
      </c>
      <c r="B82" s="69" t="str">
        <f t="shared" si="8"/>
        <v>Matériaux composites, verre &amp; catalyseurs</v>
      </c>
      <c r="C82" s="70">
        <f t="shared" si="9"/>
        <v>12</v>
      </c>
      <c r="D82" s="71">
        <f t="shared" si="10"/>
        <v>3.5714285714285712E-2</v>
      </c>
      <c r="E82" s="72" t="str" cm="1">
        <f t="array" ref="E82">IFERROR(IF(C82=0,"-",IF(SUMPRODUCT(('📋 Inventaire Complet'!$C$3:$C$517=$B82)*(ISNUMBER(SEARCH("Maintenu",'📋 Inventaire Complet'!$L$3:$L$517))))/C82&gt;0.4,"🔵 Maintenu",IF(SUMPRODUCT(('📋 Inventaire Complet'!$C$3:$C$517=$B82)*(ISNUMBER(SEARCH("Délivré",'📋 Inventaire Complet'!$L$3:$L$517))))/C82&gt;0.3,"✅ Délivré",IF(SUMPRODUCT(('📋 Inventaire Complet'!$C$3:$C$517=$B82)*(ISNUMBER(SEARCH("Abandonné",'📋 Inventaire Complet'!$L$3:$L$517))))/C82&gt;0.3,"🔴 Abandonné","🟡 OMPIC / Mixte")))),"-")</f>
        <v>🟡 OMPIC / Mixte</v>
      </c>
      <c r="F82" s="21"/>
      <c r="G82" s="73">
        <v>10</v>
      </c>
      <c r="H82" s="64" t="str">
        <f t="shared" si="11"/>
        <v>QAISS, BOUHFID</v>
      </c>
      <c r="I82" s="74">
        <f t="shared" si="12"/>
        <v>2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 cm="1">
        <f t="array" ref="W82">SUMPRODUCT(('📋 Inventaire Complet'!$C$3:$C$517=$V82)*(((COUNTIF($B$6:$B$10,TRUE)=0)+ISNUMBER(IFERROR(MATCH('📋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2" s="21">
        <f t="shared" si="6"/>
        <v>2.0082</v>
      </c>
      <c r="Y82" s="21" t="s">
        <v>27</v>
      </c>
      <c r="Z82" cm="1">
        <f t="array" ref="Z82">IF(Y82="",0,SUMPRODUCT(('📋 Inventaire Complet'!$E$3:$E$517=Y82)*((COUNTIF($B$6:$B$10,TRUE)=0)+ISNUMBER(IFERROR(MATCH('📋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2" s="22">
        <f t="shared" si="7"/>
        <v>1.0082</v>
      </c>
    </row>
    <row r="83" spans="1:27" x14ac:dyDescent="0.4">
      <c r="A83" s="63">
        <v>11</v>
      </c>
      <c r="B83" s="64" t="str">
        <f t="shared" si="8"/>
        <v>Matériaux cathodiques &amp; électrodes pour batteries Li/Na</v>
      </c>
      <c r="C83" s="65">
        <f t="shared" si="9"/>
        <v>10</v>
      </c>
      <c r="D83" s="66">
        <f t="shared" si="10"/>
        <v>2.976190476190476E-2</v>
      </c>
      <c r="E83" s="67" t="str" cm="1">
        <f t="array" ref="E83">IFERROR(IF(C83=0,"-",IF(SUMPRODUCT(('📋 Inventaire Complet'!$C$3:$C$517=$B83)*(ISNUMBER(SEARCH("Maintenu",'📋 Inventaire Complet'!$L$3:$L$517))))/C83&gt;0.4,"🔵 Maintenu",IF(SUMPRODUCT(('📋 Inventaire Complet'!$C$3:$C$517=$B83)*(ISNUMBER(SEARCH("Délivré",'📋 Inventaire Complet'!$L$3:$L$517))))/C83&gt;0.3,"✅ Délivré",IF(SUMPRODUCT(('📋 Inventaire Complet'!$C$3:$C$517=$B83)*(ISNUMBER(SEARCH("Abandonné",'📋 Inventaire Complet'!$L$3:$L$517))))/C83&gt;0.3,"🔴 Abandonné","🟡 OMPIC / Mixte")))),"-")</f>
        <v>🟡 OMPIC / Mixte</v>
      </c>
      <c r="F83" s="21"/>
      <c r="G83" s="75">
        <v>11</v>
      </c>
      <c r="H83" s="64" t="str">
        <f t="shared" si="11"/>
        <v>qaiss, Bouhfid</v>
      </c>
      <c r="I83" s="74">
        <f t="shared" si="12"/>
        <v>2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 cm="1">
        <f t="array" ref="W83">SUMPRODUCT(('📋 Inventaire Complet'!$C$3:$C$517=$V83)*(((COUNTIF($B$6:$B$10,TRUE)=0)+ISNUMBER(IFERROR(MATCH('📋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3" s="21">
        <f t="shared" si="6"/>
        <v>2.0083000000000002</v>
      </c>
      <c r="Y83" s="21" t="s">
        <v>162</v>
      </c>
      <c r="Z83" cm="1">
        <f t="array" ref="Z83">IF(Y83="",0,SUMPRODUCT(('📋 Inventaire Complet'!$E$3:$E$517=Y83)*((COUNTIF($B$6:$B$10,TRUE)=0)+ISNUMBER(IFERROR(MATCH('📋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3" s="22">
        <f t="shared" si="7"/>
        <v>1.0083</v>
      </c>
    </row>
    <row r="84" spans="1:27" x14ac:dyDescent="0.4">
      <c r="A84" s="68">
        <v>12</v>
      </c>
      <c r="B84" s="69" t="str">
        <f t="shared" si="8"/>
        <v>Biofertilisants, biostimulants &amp; enrobage d’engrais</v>
      </c>
      <c r="C84" s="70">
        <f t="shared" si="9"/>
        <v>10</v>
      </c>
      <c r="D84" s="71">
        <f t="shared" si="10"/>
        <v>2.976190476190476E-2</v>
      </c>
      <c r="E84" s="72" t="str" cm="1">
        <f t="array" ref="E84">IFERROR(IF(C84=0,"-",IF(SUMPRODUCT(('📋 Inventaire Complet'!$C$3:$C$517=$B84)*(ISNUMBER(SEARCH("Maintenu",'📋 Inventaire Complet'!$L$3:$L$517))))/C84&gt;0.4,"🔵 Maintenu",IF(SUMPRODUCT(('📋 Inventaire Complet'!$C$3:$C$517=$B84)*(ISNUMBER(SEARCH("Délivré",'📋 Inventaire Complet'!$L$3:$L$517))))/C84&gt;0.3,"✅ Délivré",IF(SUMPRODUCT(('📋 Inventaire Complet'!$C$3:$C$517=$B84)*(ISNUMBER(SEARCH("Abandonné",'📋 Inventaire Complet'!$L$3:$L$517))))/C84&gt;0.3,"🔴 Abandonné","🟡 OMPIC / Mixte")))),"-")</f>
        <v>🟡 OMPIC / Mixte</v>
      </c>
      <c r="F84" s="21"/>
      <c r="G84" s="75">
        <v>12</v>
      </c>
      <c r="H84" s="64" t="str">
        <f t="shared" si="11"/>
        <v>BOUHFID RACHID QAISS ABOU EL KACEM MERGHOUB NAWAL Mekhzoum Mohamed El Mehdi EL BOURAKADI KHADIJA</v>
      </c>
      <c r="I84" s="74">
        <f t="shared" si="12"/>
        <v>2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 cm="1">
        <f t="array" ref="W84">SUMPRODUCT(('📋 Inventaire Complet'!$C$3:$C$517=$V84)*(((COUNTIF($B$6:$B$10,TRUE)=0)+ISNUMBER(IFERROR(MATCH('📋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4" s="21">
        <f t="shared" si="6"/>
        <v>2.0084</v>
      </c>
      <c r="Y84" s="21" t="s">
        <v>454</v>
      </c>
      <c r="Z84" cm="1">
        <f t="array" ref="Z84">IF(Y84="",0,SUMPRODUCT(('📋 Inventaire Complet'!$E$3:$E$517=Y84)*((COUNTIF($B$6:$B$10,TRUE)=0)+ISNUMBER(IFERROR(MATCH('📋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4" s="22">
        <f t="shared" si="7"/>
        <v>1.0084</v>
      </c>
    </row>
    <row r="85" spans="1:27" x14ac:dyDescent="0.4">
      <c r="A85" s="63">
        <v>13</v>
      </c>
      <c r="B85" s="64" t="str">
        <f t="shared" si="8"/>
        <v>Électronique embarquée, RFID &amp; IoT</v>
      </c>
      <c r="C85" s="65">
        <f t="shared" si="9"/>
        <v>10</v>
      </c>
      <c r="D85" s="66">
        <f t="shared" si="10"/>
        <v>2.976190476190476E-2</v>
      </c>
      <c r="E85" s="67" t="str" cm="1">
        <f t="array" ref="E85">IFERROR(IF(C85=0,"-",IF(SUMPRODUCT(('📋 Inventaire Complet'!$C$3:$C$517=$B85)*(ISNUMBER(SEARCH("Maintenu",'📋 Inventaire Complet'!$L$3:$L$517))))/C85&gt;0.4,"🔵 Maintenu",IF(SUMPRODUCT(('📋 Inventaire Complet'!$C$3:$C$517=$B85)*(ISNUMBER(SEARCH("Délivré",'📋 Inventaire Complet'!$L$3:$L$517))))/C85&gt;0.3,"✅ Délivré",IF(SUMPRODUCT(('📋 Inventaire Complet'!$C$3:$C$517=$B85)*(ISNUMBER(SEARCH("Abandonné",'📋 Inventaire Complet'!$L$3:$L$517))))/C85&gt;0.3,"🔴 Abandonné","🟡 OMPIC / Mixte")))),"-")</f>
        <v>🔵 Maintenu</v>
      </c>
      <c r="F85" s="21"/>
      <c r="G85" s="73">
        <v>13</v>
      </c>
      <c r="H85" s="64" t="str">
        <f t="shared" si="11"/>
        <v>BENNANI RACHID; BENSALAH MOUAD; DHIMNI SALIM</v>
      </c>
      <c r="I85" s="74">
        <f t="shared" si="12"/>
        <v>1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 cm="1">
        <f t="array" ref="W85">SUMPRODUCT(('📋 Inventaire Complet'!$C$3:$C$517=$V85)*(((COUNTIF($B$6:$B$10,TRUE)=0)+ISNUMBER(IFERROR(MATCH('📋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5" s="21">
        <f t="shared" si="6"/>
        <v>2.0085000000000002</v>
      </c>
      <c r="Y85" s="21" t="s">
        <v>167</v>
      </c>
      <c r="Z85" cm="1">
        <f t="array" ref="Z85">IF(Y85="",0,SUMPRODUCT(('📋 Inventaire Complet'!$E$3:$E$517=Y85)*((COUNTIF($B$6:$B$10,TRUE)=0)+ISNUMBER(IFERROR(MATCH('📋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5" s="22">
        <f t="shared" si="7"/>
        <v>1.0085</v>
      </c>
    </row>
    <row r="86" spans="1:27" x14ac:dyDescent="0.4">
      <c r="A86" s="68">
        <v>14</v>
      </c>
      <c r="B86" s="69" t="str">
        <f t="shared" si="8"/>
        <v>Composites recyclés, plastiques &amp; pneus</v>
      </c>
      <c r="C86" s="70">
        <f t="shared" si="9"/>
        <v>7</v>
      </c>
      <c r="D86" s="71">
        <f t="shared" si="10"/>
        <v>2.0833333333333332E-2</v>
      </c>
      <c r="E86" s="72" t="str" cm="1">
        <f t="array" ref="E86">IFERROR(IF(C86=0,"-",IF(SUMPRODUCT(('📋 Inventaire Complet'!$C$3:$C$517=$B86)*(ISNUMBER(SEARCH("Maintenu",'📋 Inventaire Complet'!$L$3:$L$517))))/C86&gt;0.4,"🔵 Maintenu",IF(SUMPRODUCT(('📋 Inventaire Complet'!$C$3:$C$517=$B86)*(ISNUMBER(SEARCH("Délivré",'📋 Inventaire Complet'!$L$3:$L$517))))/C86&gt;0.3,"✅ Délivré",IF(SUMPRODUCT(('📋 Inventaire Complet'!$C$3:$C$517=$B86)*(ISNUMBER(SEARCH("Abandonné",'📋 Inventaire Complet'!$L$3:$L$517))))/C86&gt;0.3,"🔴 Abandonné","🟡 OMPIC / Mixte")))),"-")</f>
        <v>🔵 Maintenu</v>
      </c>
      <c r="F86" s="21"/>
      <c r="G86" s="75">
        <v>14</v>
      </c>
      <c r="H86" s="64" t="str">
        <f t="shared" si="11"/>
        <v>BOANARIJESY Andronic; NADOUR Mohamed; BOUKHRAIS Essadik</v>
      </c>
      <c r="I86" s="74">
        <f t="shared" si="12"/>
        <v>1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 cm="1">
        <f t="array" ref="W86">SUMPRODUCT(('📋 Inventaire Complet'!$C$3:$C$517=$V86)*(((COUNTIF($B$6:$B$10,TRUE)=0)+ISNUMBER(IFERROR(MATCH('📋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6" s="21">
        <f t="shared" si="6"/>
        <v>2.0085999999999999</v>
      </c>
      <c r="Y86" s="21" t="s">
        <v>517</v>
      </c>
      <c r="Z86" cm="1">
        <f t="array" ref="Z86">IF(Y86="",0,SUMPRODUCT(('📋 Inventaire Complet'!$E$3:$E$517=Y86)*((COUNTIF($B$6:$B$10,TRUE)=0)+ISNUMBER(IFERROR(MATCH('📋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6" s="22">
        <f t="shared" si="7"/>
        <v>1.0085999999999999</v>
      </c>
    </row>
    <row r="87" spans="1:27" x14ac:dyDescent="0.4">
      <c r="A87" s="63">
        <v>15</v>
      </c>
      <c r="B87" s="64" t="str">
        <f t="shared" si="8"/>
        <v>Batteries intelligentes, diagnostic &amp; gestion thermique</v>
      </c>
      <c r="C87" s="65">
        <f t="shared" si="9"/>
        <v>6</v>
      </c>
      <c r="D87" s="66">
        <f t="shared" si="10"/>
        <v>1.7857142857142856E-2</v>
      </c>
      <c r="E87" s="67" t="str" cm="1">
        <f t="array" ref="E87">IFERROR(IF(C87=0,"-",IF(SUMPRODUCT(('📋 Inventaire Complet'!$C$3:$C$517=$B87)*(ISNUMBER(SEARCH("Maintenu",'📋 Inventaire Complet'!$L$3:$L$517))))/C87&gt;0.4,"🔵 Maintenu",IF(SUMPRODUCT(('📋 Inventaire Complet'!$C$3:$C$517=$B87)*(ISNUMBER(SEARCH("Délivré",'📋 Inventaire Complet'!$L$3:$L$517))))/C87&gt;0.3,"✅ Délivré",IF(SUMPRODUCT(('📋 Inventaire Complet'!$C$3:$C$517=$B87)*(ISNUMBER(SEARCH("Abandonné",'📋 Inventaire Complet'!$L$3:$L$517))))/C87&gt;0.3,"🔴 Abandonné","🟡 OMPIC / Mixte")))),"-")</f>
        <v>🔵 Maintenu</v>
      </c>
      <c r="F87" s="21"/>
      <c r="G87" s="73">
        <v>15</v>
      </c>
      <c r="H87" s="64" t="str">
        <f t="shared" si="11"/>
        <v>Ouadi SAIDI Brahim LAKSSIR Imane AZZOUZI, Hassan ELMOUSSAOUI, Mohammed HAMEDOUN, Abdel-ilah BENYOUSSEF</v>
      </c>
      <c r="I87" s="74">
        <f t="shared" si="12"/>
        <v>1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 cm="1">
        <f t="array" ref="W87">SUMPRODUCT(('📋 Inventaire Complet'!$C$3:$C$517=$V87)*(((COUNTIF($B$6:$B$10,TRUE)=0)+ISNUMBER(IFERROR(MATCH('📋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7" s="21">
        <f t="shared" si="6"/>
        <v>2.0087000000000002</v>
      </c>
      <c r="Y87" s="21" t="s">
        <v>707</v>
      </c>
      <c r="Z87" cm="1">
        <f t="array" ref="Z87">IF(Y87="",0,SUMPRODUCT(('📋 Inventaire Complet'!$E$3:$E$517=Y87)*((COUNTIF($B$6:$B$10,TRUE)=0)+ISNUMBER(IFERROR(MATCH('📋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7" s="22">
        <f t="shared" si="7"/>
        <v>1.0086999999999999</v>
      </c>
    </row>
    <row r="88" spans="1:27" x14ac:dyDescent="0.4">
      <c r="A88" s="68">
        <v>16</v>
      </c>
      <c r="B88" s="69" t="str">
        <f t="shared" si="8"/>
        <v>Capteurs, électronique &amp; systèmes intelligents</v>
      </c>
      <c r="C88" s="70">
        <f t="shared" si="9"/>
        <v>5</v>
      </c>
      <c r="D88" s="71">
        <f t="shared" si="10"/>
        <v>1.488095238095238E-2</v>
      </c>
      <c r="E88" s="72" t="str" cm="1">
        <f t="array" ref="E88">IFERROR(IF(C88=0,"-",IF(SUMPRODUCT(('📋 Inventaire Complet'!$C$3:$C$517=$B88)*(ISNUMBER(SEARCH("Maintenu",'📋 Inventaire Complet'!$L$3:$L$517))))/C88&gt;0.4,"🔵 Maintenu",IF(SUMPRODUCT(('📋 Inventaire Complet'!$C$3:$C$517=$B88)*(ISNUMBER(SEARCH("Délivré",'📋 Inventaire Complet'!$L$3:$L$517))))/C88&gt;0.3,"✅ Délivré",IF(SUMPRODUCT(('📋 Inventaire Complet'!$C$3:$C$517=$B88)*(ISNUMBER(SEARCH("Abandonné",'📋 Inventaire Complet'!$L$3:$L$517))))/C88&gt;0.3,"🔴 Abandonné","🟡 OMPIC / Mixte")))),"-")</f>
        <v>🟡 OMPIC / Mixte</v>
      </c>
      <c r="F88" s="21"/>
      <c r="G88" s="75">
        <v>16</v>
      </c>
      <c r="H88" s="64" t="str">
        <f t="shared" si="11"/>
        <v>SEKKAT Zouheir; NESTERENKO Dmitry</v>
      </c>
      <c r="I88" s="74">
        <f t="shared" si="12"/>
        <v>1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 cm="1">
        <f t="array" ref="W88">SUMPRODUCT(('📋 Inventaire Complet'!$C$3:$C$517=$V88)*(((COUNTIF($B$6:$B$10,TRUE)=0)+ISNUMBER(IFERROR(MATCH('📋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8" s="21">
        <f t="shared" si="6"/>
        <v>2.0087999999999999</v>
      </c>
      <c r="Y88" s="21" t="s">
        <v>710</v>
      </c>
      <c r="Z88" cm="1">
        <f t="array" ref="Z88">IF(Y88="",0,SUMPRODUCT(('📋 Inventaire Complet'!$E$3:$E$517=Y88)*((COUNTIF($B$6:$B$10,TRUE)=0)+ISNUMBER(IFERROR(MATCH('📋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8" s="22">
        <f t="shared" si="7"/>
        <v>1.0087999999999999</v>
      </c>
    </row>
    <row r="89" spans="1:27" x14ac:dyDescent="0.4">
      <c r="A89" s="63">
        <v>17</v>
      </c>
      <c r="B89" s="64" t="str">
        <f t="shared" si="8"/>
        <v>Flottation &amp; enrichissement des minerais</v>
      </c>
      <c r="C89" s="65">
        <f t="shared" si="9"/>
        <v>5</v>
      </c>
      <c r="D89" s="66">
        <f t="shared" si="10"/>
        <v>1.488095238095238E-2</v>
      </c>
      <c r="E89" s="67" t="str" cm="1">
        <f t="array" ref="E89">IFERROR(IF(C89=0,"-",IF(SUMPRODUCT(('📋 Inventaire Complet'!$C$3:$C$517=$B89)*(ISNUMBER(SEARCH("Maintenu",'📋 Inventaire Complet'!$L$3:$L$517))))/C89&gt;0.4,"🔵 Maintenu",IF(SUMPRODUCT(('📋 Inventaire Complet'!$C$3:$C$517=$B89)*(ISNUMBER(SEARCH("Délivré",'📋 Inventaire Complet'!$L$3:$L$517))))/C89&gt;0.3,"✅ Délivré",IF(SUMPRODUCT(('📋 Inventaire Complet'!$C$3:$C$517=$B89)*(ISNUMBER(SEARCH("Abandonné",'📋 Inventaire Complet'!$L$3:$L$517))))/C89&gt;0.3,"🔴 Abandonné","🟡 OMPIC / Mixte")))),"-")</f>
        <v>🔴 Abandonné</v>
      </c>
      <c r="F89" s="21"/>
      <c r="G89" s="75">
        <v>17</v>
      </c>
      <c r="H89" s="64" t="str">
        <f t="shared" si="11"/>
        <v>LAKSSIR,BENYOUSSEF,HAMEDOUN,ELMOUSSAOUI</v>
      </c>
      <c r="I89" s="74">
        <f t="shared" si="12"/>
        <v>1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 cm="1">
        <f t="array" ref="W89">SUMPRODUCT(('📋 Inventaire Complet'!$C$3:$C$517=$V89)*(((COUNTIF($B$6:$B$10,TRUE)=0)+ISNUMBER(IFERROR(MATCH('📋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89" s="21">
        <f t="shared" si="6"/>
        <v>2.0089000000000001</v>
      </c>
      <c r="Y89" s="21" t="s">
        <v>158</v>
      </c>
      <c r="Z89" cm="1">
        <f t="array" ref="Z89">IF(Y89="",0,SUMPRODUCT(('📋 Inventaire Complet'!$E$3:$E$517=Y89)*((COUNTIF($B$6:$B$10,TRUE)=0)+ISNUMBER(IFERROR(MATCH('📋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89" s="22">
        <f t="shared" si="7"/>
        <v>1.0088999999999999</v>
      </c>
    </row>
    <row r="90" spans="1:27" x14ac:dyDescent="0.4">
      <c r="A90" s="68">
        <v>18</v>
      </c>
      <c r="B90" s="69" t="str">
        <f t="shared" si="8"/>
        <v>Équipements miniers, échantillonnage &amp; séparation solide-liquide</v>
      </c>
      <c r="C90" s="70">
        <f t="shared" si="9"/>
        <v>4</v>
      </c>
      <c r="D90" s="71">
        <f t="shared" si="10"/>
        <v>1.1904761904761904E-2</v>
      </c>
      <c r="E90" s="72" t="str" cm="1">
        <f t="array" ref="E90">IFERROR(IF(C90=0,"-",IF(SUMPRODUCT(('📋 Inventaire Complet'!$C$3:$C$517=$B90)*(ISNUMBER(SEARCH("Maintenu",'📋 Inventaire Complet'!$L$3:$L$517))))/C90&gt;0.4,"🔵 Maintenu",IF(SUMPRODUCT(('📋 Inventaire Complet'!$C$3:$C$517=$B90)*(ISNUMBER(SEARCH("Délivré",'📋 Inventaire Complet'!$L$3:$L$517))))/C90&gt;0.3,"✅ Délivré",IF(SUMPRODUCT(('📋 Inventaire Complet'!$C$3:$C$517=$B90)*(ISNUMBER(SEARCH("Abandonné",'📋 Inventaire Complet'!$L$3:$L$517))))/C90&gt;0.3,"🔴 Abandonné","🟡 OMPIC / Mixte")))),"-")</f>
        <v>🔴 Abandonné</v>
      </c>
      <c r="F90" s="21"/>
      <c r="G90" s="73">
        <v>18</v>
      </c>
      <c r="H90" s="64" t="str">
        <f t="shared" si="11"/>
        <v>LAHLALIA Ayoub; EL KAMOUNY Khadija; DAHBI Mouad; MOUAQ Mouad</v>
      </c>
      <c r="I90" s="74">
        <f t="shared" si="12"/>
        <v>1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 cm="1">
        <f t="array" ref="W90">SUMPRODUCT(('📋 Inventaire Complet'!$C$3:$C$517=$V90)*(((COUNTIF($B$6:$B$10,TRUE)=0)+ISNUMBER(IFERROR(MATCH('📋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0" s="21">
        <f t="shared" ref="X90:X98" si="13">W90+ROW()/10000</f>
        <v>2.0089999999999999</v>
      </c>
      <c r="Y90" s="21" t="s">
        <v>480</v>
      </c>
      <c r="Z90" cm="1">
        <f t="array" ref="Z90">IF(Y90="",0,SUMPRODUCT(('📋 Inventaire Complet'!$E$3:$E$517=Y90)*((COUNTIF($B$6:$B$10,TRUE)=0)+ISNUMBER(IFERROR(MATCH('📋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0" s="22">
        <f t="shared" si="7"/>
        <v>1.0089999999999999</v>
      </c>
    </row>
    <row r="91" spans="1:27" x14ac:dyDescent="0.4">
      <c r="A91" s="63">
        <v>19</v>
      </c>
      <c r="B91" s="64" t="str">
        <f t="shared" si="8"/>
        <v>Procédés thermiques, calcination &amp; traitement à sec</v>
      </c>
      <c r="C91" s="65">
        <f t="shared" si="9"/>
        <v>4</v>
      </c>
      <c r="D91" s="66">
        <f t="shared" si="10"/>
        <v>1.1904761904761904E-2</v>
      </c>
      <c r="E91" s="67" t="str" cm="1">
        <f t="array" ref="E91">IFERROR(IF(C91=0,"-",IF(SUMPRODUCT(('📋 Inventaire Complet'!$C$3:$C$517=$B91)*(ISNUMBER(SEARCH("Maintenu",'📋 Inventaire Complet'!$L$3:$L$517))))/C91&gt;0.4,"🔵 Maintenu",IF(SUMPRODUCT(('📋 Inventaire Complet'!$C$3:$C$517=$B91)*(ISNUMBER(SEARCH("Délivré",'📋 Inventaire Complet'!$L$3:$L$517))))/C91&gt;0.3,"✅ Délivré",IF(SUMPRODUCT(('📋 Inventaire Complet'!$C$3:$C$517=$B91)*(ISNUMBER(SEARCH("Abandonné",'📋 Inventaire Complet'!$L$3:$L$517))))/C91&gt;0.3,"🔴 Abandonné","🟡 OMPIC / Mixte")))),"-")</f>
        <v>🟡 OMPIC / Mixte</v>
      </c>
      <c r="F91" s="21"/>
      <c r="G91" s="75">
        <v>19</v>
      </c>
      <c r="H91" s="64" t="str">
        <f t="shared" si="11"/>
        <v>LAHLALIA Ayoub; EL KAMOUNY Khadija; MOUAQ Mouad</v>
      </c>
      <c r="I91" s="74">
        <f t="shared" si="12"/>
        <v>1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 cm="1">
        <f t="array" ref="W91">SUMPRODUCT(('📋 Inventaire Complet'!$C$3:$C$517=$V91)*(((COUNTIF($B$6:$B$10,TRUE)=0)+ISNUMBER(IFERROR(MATCH('📋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1" s="21">
        <f t="shared" si="13"/>
        <v>2.0091000000000001</v>
      </c>
      <c r="Y91" s="21" t="s">
        <v>314</v>
      </c>
      <c r="Z91" cm="1">
        <f t="array" ref="Z91">IF(Y91="",0,SUMPRODUCT(('📋 Inventaire Complet'!$E$3:$E$517=Y91)*((COUNTIF($B$6:$B$10,TRUE)=0)+ISNUMBER(IFERROR(MATCH('📋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1" s="22">
        <f t="shared" si="7"/>
        <v>1.0091000000000001</v>
      </c>
    </row>
    <row r="92" spans="1:27" x14ac:dyDescent="0.4">
      <c r="A92" s="68">
        <v>20</v>
      </c>
      <c r="B92" s="69" t="str">
        <f t="shared" si="8"/>
        <v>Stockage thermique &amp; matériaux céramiques</v>
      </c>
      <c r="C92" s="70">
        <f t="shared" si="9"/>
        <v>3</v>
      </c>
      <c r="D92" s="71">
        <f t="shared" si="10"/>
        <v>8.9285714285714281E-3</v>
      </c>
      <c r="E92" s="72" t="str" cm="1">
        <f t="array" ref="E92">IFERROR(IF(C92=0,"-",IF(SUMPRODUCT(('📋 Inventaire Complet'!$C$3:$C$517=$B92)*(ISNUMBER(SEARCH("Maintenu",'📋 Inventaire Complet'!$L$3:$L$517))))/C92&gt;0.4,"🔵 Maintenu",IF(SUMPRODUCT(('📋 Inventaire Complet'!$C$3:$C$517=$B92)*(ISNUMBER(SEARCH("Délivré",'📋 Inventaire Complet'!$L$3:$L$517))))/C92&gt;0.3,"✅ Délivré",IF(SUMPRODUCT(('📋 Inventaire Complet'!$C$3:$C$517=$B92)*(ISNUMBER(SEARCH("Abandonné",'📋 Inventaire Complet'!$L$3:$L$517))))/C92&gt;0.3,"🔴 Abandonné","🟡 OMPIC / Mixte")))),"-")</f>
        <v>✅ Délivré</v>
      </c>
      <c r="F92" s="21"/>
      <c r="G92" s="73">
        <v>20</v>
      </c>
      <c r="H92" s="64" t="str">
        <f t="shared" si="11"/>
        <v>BRICHE SAMIR; REDOUANY YASSINE; JHABLI Oussama; LACHAM MOHAMMED; EL LACHAM ABDELHAMID; BOUHMAD ADIL</v>
      </c>
      <c r="I92" s="74">
        <f t="shared" si="12"/>
        <v>1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 cm="1">
        <f t="array" ref="W92">SUMPRODUCT(('📋 Inventaire Complet'!$C$3:$C$517=$V92)*(((COUNTIF($B$6:$B$10,TRUE)=0)+ISNUMBER(IFERROR(MATCH('📋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2" s="21">
        <f t="shared" si="13"/>
        <v>2.0091999999999999</v>
      </c>
      <c r="Y92" s="21" t="s">
        <v>1042</v>
      </c>
      <c r="Z92" cm="1">
        <f t="array" ref="Z92">IF(Y92="",0,SUMPRODUCT(('📋 Inventaire Complet'!$E$3:$E$517=Y92)*((COUNTIF($B$6:$B$10,TRUE)=0)+ISNUMBER(IFERROR(MATCH('📋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2" s="22">
        <f t="shared" si="7"/>
        <v>1.0092000000000001</v>
      </c>
    </row>
    <row r="93" spans="1:27" x14ac:dyDescent="0.4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 cm="1">
        <f t="array" ref="W93">SUMPRODUCT(('📋 Inventaire Complet'!$C$3:$C$517=$V93)*(((COUNTIF($B$6:$B$10,TRUE)=0)+ISNUMBER(IFERROR(MATCH('📋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3" s="21">
        <f t="shared" si="13"/>
        <v>2.0093000000000001</v>
      </c>
      <c r="Y93" s="21" t="s">
        <v>1051</v>
      </c>
      <c r="Z93" cm="1">
        <f t="array" ref="Z93">IF(Y93="",0,SUMPRODUCT(('📋 Inventaire Complet'!$E$3:$E$517=Y93)*((COUNTIF($B$6:$B$10,TRUE)=0)+ISNUMBER(IFERROR(MATCH('📋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3" s="22">
        <f t="shared" si="7"/>
        <v>1.0093000000000001</v>
      </c>
    </row>
    <row r="94" spans="1:27" x14ac:dyDescent="0.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 cm="1">
        <f t="array" ref="W94">SUMPRODUCT(('📋 Inventaire Complet'!$C$3:$C$517=$V94)*(((COUNTIF($B$6:$B$10,TRUE)=0)+ISNUMBER(IFERROR(MATCH('📋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4" s="21">
        <f t="shared" si="13"/>
        <v>2.0093999999999999</v>
      </c>
      <c r="Y94" s="21" t="s">
        <v>1056</v>
      </c>
      <c r="Z94" cm="1">
        <f t="array" ref="Z94">IF(Y94="",0,SUMPRODUCT(('📋 Inventaire Complet'!$E$3:$E$517=Y94)*((COUNTIF($B$6:$B$10,TRUE)=0)+ISNUMBER(IFERROR(MATCH('📋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4" s="22">
        <f t="shared" si="7"/>
        <v>1.0094000000000001</v>
      </c>
    </row>
    <row r="95" spans="1:27" x14ac:dyDescent="0.4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 cm="1">
        <f t="array" ref="W95">SUMPRODUCT(('📋 Inventaire Complet'!$C$3:$C$517=$V95)*(((COUNTIF($B$6:$B$10,TRUE)=0)+ISNUMBER(IFERROR(MATCH('📋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5" s="21">
        <f t="shared" si="13"/>
        <v>2.0095000000000001</v>
      </c>
      <c r="Y95" s="21" t="s">
        <v>1060</v>
      </c>
      <c r="Z95" cm="1">
        <f t="array" ref="Z95">IF(Y95="",0,SUMPRODUCT(('📋 Inventaire Complet'!$E$3:$E$517=Y95)*((COUNTIF($B$6:$B$10,TRUE)=0)+ISNUMBER(IFERROR(MATCH('📋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5" s="22">
        <f t="shared" si="7"/>
        <v>1.0095000000000001</v>
      </c>
    </row>
    <row r="96" spans="1:27" x14ac:dyDescent="0.4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 cm="1">
        <f t="array" ref="W96">SUMPRODUCT(('📋 Inventaire Complet'!$C$3:$C$517=$V96)*(((COUNTIF($B$6:$B$10,TRUE)=0)+ISNUMBER(IFERROR(MATCH('📋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6" s="21">
        <f t="shared" si="13"/>
        <v>2.0095999999999998</v>
      </c>
      <c r="Y96" s="21" t="s">
        <v>1065</v>
      </c>
      <c r="Z96" cm="1">
        <f t="array" ref="Z96">IF(Y96="",0,SUMPRODUCT(('📋 Inventaire Complet'!$E$3:$E$517=Y96)*((COUNTIF($B$6:$B$10,TRUE)=0)+ISNUMBER(IFERROR(MATCH('📋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6" s="22">
        <f t="shared" si="7"/>
        <v>1.0096000000000001</v>
      </c>
    </row>
    <row r="97" spans="1:27" x14ac:dyDescent="0.4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 cm="1">
        <f t="array" ref="W97">SUMPRODUCT(('📋 Inventaire Complet'!$C$3:$C$517=$V97)*(((COUNTIF($B$6:$B$10,TRUE)=0)+ISNUMBER(IFERROR(MATCH('📋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7" s="21">
        <f t="shared" si="13"/>
        <v>2.0097</v>
      </c>
      <c r="Y97" s="21" t="s">
        <v>1068</v>
      </c>
      <c r="Z97" cm="1">
        <f t="array" ref="Z97">IF(Y97="",0,SUMPRODUCT(('📋 Inventaire Complet'!$E$3:$E$517=Y97)*((COUNTIF($B$6:$B$10,TRUE)=0)+ISNUMBER(IFERROR(MATCH('📋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7" s="22">
        <f t="shared" si="7"/>
        <v>1.0097</v>
      </c>
    </row>
    <row r="98" spans="1:27" x14ac:dyDescent="0.4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 cm="1">
        <f t="array" ref="W98">SUMPRODUCT(('📋 Inventaire Complet'!$C$3:$C$517=$V98)*(((COUNTIF($B$6:$B$10,TRUE)=0)+ISNUMBER(IFERROR(MATCH('📋 Inventaire Complet'!$B$3:$B$517,IF($B$6:$B$10,$A$6:$A$10),0),""))&gt;0))*(((COUNTIF($D$6:$D$22,TRUE)=0)+ISNUMBER(IFERROR(MATCH(LEFT('📋 Inventaire Complet'!$J$3:$J$517,4),IF($D$6:$D$22,$C$6:$C$22&amp;""),0),""))&gt;0))*(((COUNTIF($F$6:$F$20,TRUE)=0)+(ISNUMBER(IFERROR(MATCH('📋 Inventaire Complet'!$F$3:$F$517,IF($F$6:$F$19,$E$6:$E$19),0),""))+($F$20*ISNUMBER(MATCH('📋 Inventaire Complet'!$F$3:$F$517,{"D4R";"CEPH";"ISTI";"COLCOM";"HTMR"},0))))&gt;0))*(LEN('📋 Inventaire Complet'!$D$3:$D$517)&gt;0)*(((COUNTIF($H$6:$H$10,TRUE)=0)+(($H$6*ISNUMBER(SEARCH($G$6,'📋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X98" s="21">
        <f t="shared" si="13"/>
        <v>2.0097999999999998</v>
      </c>
      <c r="Y98" s="21" t="s">
        <v>1080</v>
      </c>
      <c r="Z98" cm="1">
        <f t="array" ref="Z98">IF(Y98="",0,SUMPRODUCT(('📋 Inventaire Complet'!$E$3:$E$517=Y98)*((COUNTIF($B$6:$B$10,TRUE)=0)+ISNUMBER(IFERROR(MATCH('📋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8" s="22">
        <f t="shared" si="7"/>
        <v>1.0098</v>
      </c>
    </row>
    <row r="99" spans="1:27" x14ac:dyDescent="0.4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 t="s">
        <v>1083</v>
      </c>
      <c r="Z99" cm="1">
        <f t="array" ref="Z99">IF(Y99="",0,SUMPRODUCT(('📋 Inventaire Complet'!$E$3:$E$517=Y99)*((COUNTIF($B$6:$B$10,TRUE)=0)+ISNUMBER(IFERROR(MATCH('📋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99" s="22">
        <f t="shared" si="7"/>
        <v>1.0099</v>
      </c>
    </row>
    <row r="100" spans="1:27" x14ac:dyDescent="0.4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 t="s">
        <v>1086</v>
      </c>
      <c r="Z100" cm="1">
        <f t="array" ref="Z100">IF(Y100="",0,SUMPRODUCT(('📋 Inventaire Complet'!$E$3:$E$517=Y100)*((COUNTIF($B$6:$B$10,TRUE)=0)+ISNUMBER(IFERROR(MATCH('📋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0" s="22">
        <f t="shared" si="7"/>
        <v>1.01</v>
      </c>
    </row>
    <row r="101" spans="1:27" x14ac:dyDescent="0.4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 t="s">
        <v>1090</v>
      </c>
      <c r="Z101" cm="1">
        <f t="array" ref="Z101">IF(Y101="",0,SUMPRODUCT(('📋 Inventaire Complet'!$E$3:$E$517=Y101)*((COUNTIF($B$6:$B$10,TRUE)=0)+ISNUMBER(IFERROR(MATCH('📋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1" s="22">
        <f t="shared" si="7"/>
        <v>1.0101</v>
      </c>
    </row>
    <row r="102" spans="1:27" x14ac:dyDescent="0.4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 t="s">
        <v>1094</v>
      </c>
      <c r="Z102" cm="1">
        <f t="array" ref="Z102">IF(Y102="",0,SUMPRODUCT(('📋 Inventaire Complet'!$E$3:$E$517=Y102)*((COUNTIF($B$6:$B$10,TRUE)=0)+ISNUMBER(IFERROR(MATCH('📋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2" s="22">
        <f t="shared" si="7"/>
        <v>1.0102</v>
      </c>
    </row>
    <row r="103" spans="1:27" x14ac:dyDescent="0.4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 t="s">
        <v>1098</v>
      </c>
      <c r="Z103" cm="1">
        <f t="array" ref="Z103">IF(Y103="",0,SUMPRODUCT(('📋 Inventaire Complet'!$E$3:$E$517=Y103)*((COUNTIF($B$6:$B$10,TRUE)=0)+ISNUMBER(IFERROR(MATCH('📋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3" s="22">
        <f t="shared" si="7"/>
        <v>1.0103</v>
      </c>
    </row>
    <row r="104" spans="1:27" x14ac:dyDescent="0.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 t="s">
        <v>1102</v>
      </c>
      <c r="Z104" cm="1">
        <f t="array" ref="Z104">IF(Y104="",0,SUMPRODUCT(('📋 Inventaire Complet'!$E$3:$E$517=Y104)*((COUNTIF($B$6:$B$10,TRUE)=0)+ISNUMBER(IFERROR(MATCH('📋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4" s="22">
        <f t="shared" si="7"/>
        <v>1.0104</v>
      </c>
    </row>
    <row r="105" spans="1:27" x14ac:dyDescent="0.4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 t="s">
        <v>1106</v>
      </c>
      <c r="Z105" cm="1">
        <f t="array" ref="Z105">IF(Y105="",0,SUMPRODUCT(('📋 Inventaire Complet'!$E$3:$E$517=Y105)*((COUNTIF($B$6:$B$10,TRUE)=0)+ISNUMBER(IFERROR(MATCH('📋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5" s="22">
        <f t="shared" si="7"/>
        <v>1.0105</v>
      </c>
    </row>
    <row r="106" spans="1:27" x14ac:dyDescent="0.4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 t="s">
        <v>1109</v>
      </c>
      <c r="Z106" cm="1">
        <f t="array" ref="Z106">IF(Y106="",0,SUMPRODUCT(('📋 Inventaire Complet'!$E$3:$E$517=Y106)*((COUNTIF($B$6:$B$10,TRUE)=0)+ISNUMBER(IFERROR(MATCH('📋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6" s="22">
        <f t="shared" si="7"/>
        <v>1.0105999999999999</v>
      </c>
    </row>
    <row r="107" spans="1:27" x14ac:dyDescent="0.4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 t="s">
        <v>1244</v>
      </c>
      <c r="Z107" cm="1">
        <f t="array" ref="Z107">IF(Y107="",0,SUMPRODUCT(('📋 Inventaire Complet'!$E$3:$E$517=Y107)*((COUNTIF($B$6:$B$10,TRUE)=0)+ISNUMBER(IFERROR(MATCH('📋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7" s="22">
        <f t="shared" si="7"/>
        <v>1.0106999999999999</v>
      </c>
    </row>
    <row r="108" spans="1:27" x14ac:dyDescent="0.4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 t="s">
        <v>1132</v>
      </c>
      <c r="Z108" cm="1">
        <f t="array" ref="Z108">IF(Y108="",0,SUMPRODUCT(('📋 Inventaire Complet'!$E$3:$E$517=Y108)*((COUNTIF($B$6:$B$10,TRUE)=0)+ISNUMBER(IFERROR(MATCH('📋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8" s="22">
        <f t="shared" si="7"/>
        <v>1.0107999999999999</v>
      </c>
    </row>
    <row r="109" spans="1:27" x14ac:dyDescent="0.4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 t="s">
        <v>1179</v>
      </c>
      <c r="Z109" cm="1">
        <f t="array" ref="Z109">IF(Y109="",0,SUMPRODUCT(('📋 Inventaire Complet'!$E$3:$E$517=Y109)*((COUNTIF($B$6:$B$10,TRUE)=0)+ISNUMBER(IFERROR(MATCH('📋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09" s="22">
        <f t="shared" si="7"/>
        <v>1.0108999999999999</v>
      </c>
    </row>
    <row r="110" spans="1:27" x14ac:dyDescent="0.4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 t="s">
        <v>1140</v>
      </c>
      <c r="Z110" cm="1">
        <f t="array" ref="Z110">IF(Y110="",0,SUMPRODUCT(('📋 Inventaire Complet'!$E$3:$E$517=Y110)*((COUNTIF($B$6:$B$10,TRUE)=0)+ISNUMBER(IFERROR(MATCH('📋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0" s="22">
        <f t="shared" si="7"/>
        <v>1.0109999999999999</v>
      </c>
    </row>
    <row r="111" spans="1:27" x14ac:dyDescent="0.4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 t="s">
        <v>1071</v>
      </c>
      <c r="Z111" cm="1">
        <f t="array" ref="Z111">IF(Y111="",0,SUMPRODUCT(('📋 Inventaire Complet'!$E$3:$E$517=Y111)*((COUNTIF($B$6:$B$10,TRUE)=0)+ISNUMBER(IFERROR(MATCH('📋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111" s="22">
        <f t="shared" si="7"/>
        <v>2.0110999999999999</v>
      </c>
    </row>
    <row r="112" spans="1:27" x14ac:dyDescent="0.4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 t="s">
        <v>1074</v>
      </c>
      <c r="Z112" cm="1">
        <f t="array" ref="Z112">IF(Y112="",0,SUMPRODUCT(('📋 Inventaire Complet'!$E$3:$E$517=Y112)*((COUNTIF($B$6:$B$10,TRUE)=0)+ISNUMBER(IFERROR(MATCH('📋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112" s="22">
        <f t="shared" si="7"/>
        <v>2.0112000000000001</v>
      </c>
    </row>
    <row r="113" spans="1:27" x14ac:dyDescent="0.4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 t="s">
        <v>1143</v>
      </c>
      <c r="Z113" cm="1">
        <f t="array" ref="Z113">IF(Y113="",0,SUMPRODUCT(('📋 Inventaire Complet'!$E$3:$E$517=Y113)*((COUNTIF($B$6:$B$10,TRUE)=0)+ISNUMBER(IFERROR(MATCH('📋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3" s="22">
        <f t="shared" si="7"/>
        <v>1.0113000000000001</v>
      </c>
    </row>
    <row r="114" spans="1:27" x14ac:dyDescent="0.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 t="s">
        <v>1147</v>
      </c>
      <c r="Z114" cm="1">
        <f t="array" ref="Z114">IF(Y114="",0,SUMPRODUCT(('📋 Inventaire Complet'!$E$3:$E$517=Y114)*((COUNTIF($B$6:$B$10,TRUE)=0)+ISNUMBER(IFERROR(MATCH('📋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4" s="22">
        <f t="shared" si="7"/>
        <v>1.0114000000000001</v>
      </c>
    </row>
    <row r="115" spans="1:27" x14ac:dyDescent="0.4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 t="s">
        <v>1175</v>
      </c>
      <c r="Z115" cm="1">
        <f t="array" ref="Z115">IF(Y115="",0,SUMPRODUCT(('📋 Inventaire Complet'!$E$3:$E$517=Y115)*((COUNTIF($B$6:$B$10,TRUE)=0)+ISNUMBER(IFERROR(MATCH('📋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5" s="22">
        <f t="shared" si="7"/>
        <v>1.0115000000000001</v>
      </c>
    </row>
    <row r="116" spans="1:27" x14ac:dyDescent="0.4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 t="s">
        <v>1112</v>
      </c>
      <c r="Z116" cm="1">
        <f t="array" ref="Z116">IF(Y116="",0,SUMPRODUCT(('📋 Inventaire Complet'!$E$3:$E$517=Y116)*((COUNTIF($B$6:$B$10,TRUE)=0)+ISNUMBER(IFERROR(MATCH('📋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6" s="22">
        <f t="shared" si="7"/>
        <v>1.0116000000000001</v>
      </c>
    </row>
    <row r="117" spans="1:27" x14ac:dyDescent="0.4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 t="s">
        <v>1182</v>
      </c>
      <c r="Z117" cm="1">
        <f t="array" ref="Z117">IF(Y117="",0,SUMPRODUCT(('📋 Inventaire Complet'!$E$3:$E$517=Y117)*((COUNTIF($B$6:$B$10,TRUE)=0)+ISNUMBER(IFERROR(MATCH('📋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7" s="22">
        <f t="shared" si="7"/>
        <v>1.0117</v>
      </c>
    </row>
    <row r="118" spans="1:27" x14ac:dyDescent="0.4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 t="s">
        <v>1241</v>
      </c>
      <c r="Z118" cm="1">
        <f t="array" ref="Z118">IF(Y118="",0,SUMPRODUCT(('📋 Inventaire Complet'!$E$3:$E$517=Y118)*((COUNTIF($B$6:$B$10,TRUE)=0)+ISNUMBER(IFERROR(MATCH('📋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8" s="22">
        <f t="shared" si="7"/>
        <v>1.0118</v>
      </c>
    </row>
    <row r="119" spans="1:27" x14ac:dyDescent="0.4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 t="s">
        <v>968</v>
      </c>
      <c r="Z119" cm="1">
        <f t="array" ref="Z119">IF(Y119="",0,SUMPRODUCT(('📋 Inventaire Complet'!$E$3:$E$517=Y119)*((COUNTIF($B$6:$B$10,TRUE)=0)+ISNUMBER(IFERROR(MATCH('📋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19" s="22">
        <f t="shared" si="7"/>
        <v>1.0119</v>
      </c>
    </row>
    <row r="120" spans="1:27" x14ac:dyDescent="0.4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 t="s">
        <v>1357</v>
      </c>
      <c r="Z120" cm="1">
        <f t="array" ref="Z120">IF(Y120="",0,SUMPRODUCT(('📋 Inventaire Complet'!$E$3:$E$517=Y120)*((COUNTIF($B$6:$B$10,TRUE)=0)+ISNUMBER(IFERROR(MATCH('📋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0" s="22">
        <f t="shared" si="7"/>
        <v>1.012</v>
      </c>
    </row>
    <row r="121" spans="1:27" x14ac:dyDescent="0.4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 t="s">
        <v>1360</v>
      </c>
      <c r="Z121" cm="1">
        <f t="array" ref="Z121">IF(Y121="",0,SUMPRODUCT(('📋 Inventaire Complet'!$E$3:$E$517=Y121)*((COUNTIF($B$6:$B$10,TRUE)=0)+ISNUMBER(IFERROR(MATCH('📋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1" s="22">
        <f t="shared" si="7"/>
        <v>1.0121</v>
      </c>
    </row>
    <row r="122" spans="1:27" x14ac:dyDescent="0.4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 t="s">
        <v>1363</v>
      </c>
      <c r="Z122" cm="1">
        <f t="array" ref="Z122">IF(Y122="",0,SUMPRODUCT(('📋 Inventaire Complet'!$E$3:$E$517=Y122)*((COUNTIF($B$6:$B$10,TRUE)=0)+ISNUMBER(IFERROR(MATCH('📋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2" s="22">
        <f t="shared" si="7"/>
        <v>1.0122</v>
      </c>
    </row>
    <row r="123" spans="1:27" x14ac:dyDescent="0.4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 t="s">
        <v>1430</v>
      </c>
      <c r="Z123" cm="1">
        <f t="array" ref="Z123">IF(Y123="",0,SUMPRODUCT(('📋 Inventaire Complet'!$E$3:$E$517=Y123)*((COUNTIF($B$6:$B$10,TRUE)=0)+ISNUMBER(IFERROR(MATCH('📋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3" s="22">
        <f t="shared" si="7"/>
        <v>1.0123</v>
      </c>
    </row>
    <row r="124" spans="1:27" x14ac:dyDescent="0.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 t="s">
        <v>1366</v>
      </c>
      <c r="Z124" cm="1">
        <f t="array" ref="Z124">IF(Y124="",0,SUMPRODUCT(('📋 Inventaire Complet'!$E$3:$E$517=Y124)*((COUNTIF($B$6:$B$10,TRUE)=0)+ISNUMBER(IFERROR(MATCH('📋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4" s="22">
        <f t="shared" si="7"/>
        <v>1.0124</v>
      </c>
    </row>
    <row r="125" spans="1:27" x14ac:dyDescent="0.4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 t="s">
        <v>1369</v>
      </c>
      <c r="Z125" cm="1">
        <f t="array" ref="Z125">IF(Y125="",0,SUMPRODUCT(('📋 Inventaire Complet'!$E$3:$E$517=Y125)*((COUNTIF($B$6:$B$10,TRUE)=0)+ISNUMBER(IFERROR(MATCH('📋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5" s="22">
        <f t="shared" si="7"/>
        <v>1.0125</v>
      </c>
    </row>
    <row r="126" spans="1:27" x14ac:dyDescent="0.4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 t="s">
        <v>1439</v>
      </c>
      <c r="Z126" cm="1">
        <f t="array" ref="Z126">IF(Y126="",0,SUMPRODUCT(('📋 Inventaire Complet'!$E$3:$E$517=Y126)*((COUNTIF($B$6:$B$10,TRUE)=0)+ISNUMBER(IFERROR(MATCH('📋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6" s="22">
        <f t="shared" si="7"/>
        <v>1.0125999999999999</v>
      </c>
    </row>
    <row r="127" spans="1:27" x14ac:dyDescent="0.4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 t="s">
        <v>1373</v>
      </c>
      <c r="Z127" cm="1">
        <f t="array" ref="Z127">IF(Y127="",0,SUMPRODUCT(('📋 Inventaire Complet'!$E$3:$E$517=Y127)*((COUNTIF($B$6:$B$10,TRUE)=0)+ISNUMBER(IFERROR(MATCH('📋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7" s="22">
        <f t="shared" si="7"/>
        <v>1.0126999999999999</v>
      </c>
    </row>
    <row r="128" spans="1:27" x14ac:dyDescent="0.4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 t="s">
        <v>1386</v>
      </c>
      <c r="Z128" cm="1">
        <f t="array" ref="Z128">IF(Y128="",0,SUMPRODUCT(('📋 Inventaire Complet'!$E$3:$E$517=Y128)*((COUNTIF($B$6:$B$10,TRUE)=0)+ISNUMBER(IFERROR(MATCH('📋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128" s="22">
        <f t="shared" si="7"/>
        <v>2.0127999999999999</v>
      </c>
    </row>
    <row r="129" spans="1:27" x14ac:dyDescent="0.4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 t="s">
        <v>1390</v>
      </c>
      <c r="Z129" cm="1">
        <f t="array" ref="Z129">IF(Y129="",0,SUMPRODUCT(('📋 Inventaire Complet'!$E$3:$E$517=Y129)*((COUNTIF($B$6:$B$10,TRUE)=0)+ISNUMBER(IFERROR(MATCH('📋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29" s="22">
        <f t="shared" si="7"/>
        <v>1.0128999999999999</v>
      </c>
    </row>
    <row r="130" spans="1:27" x14ac:dyDescent="0.4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 t="s">
        <v>1393</v>
      </c>
      <c r="Z130" cm="1">
        <f t="array" ref="Z130">IF(Y130="",0,SUMPRODUCT(('📋 Inventaire Complet'!$E$3:$E$517=Y130)*((COUNTIF($B$6:$B$10,TRUE)=0)+ISNUMBER(IFERROR(MATCH('📋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0" s="22">
        <f t="shared" ref="AA130:AA193" si="14">IF(Y130="",0,Z130+ROW()/10000)</f>
        <v>1.0129999999999999</v>
      </c>
    </row>
    <row r="131" spans="1:27" x14ac:dyDescent="0.4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 t="s">
        <v>1406</v>
      </c>
      <c r="Z131" cm="1">
        <f t="array" ref="Z131">IF(Y131="",0,SUMPRODUCT(('📋 Inventaire Complet'!$E$3:$E$517=Y131)*((COUNTIF($B$6:$B$10,TRUE)=0)+ISNUMBER(IFERROR(MATCH('📋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1" s="22">
        <f t="shared" si="14"/>
        <v>1.0131000000000001</v>
      </c>
    </row>
    <row r="132" spans="1:27" x14ac:dyDescent="0.4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 t="s">
        <v>1410</v>
      </c>
      <c r="Z132" cm="1">
        <f t="array" ref="Z132">IF(Y132="",0,SUMPRODUCT(('📋 Inventaire Complet'!$E$3:$E$517=Y132)*((COUNTIF($B$6:$B$10,TRUE)=0)+ISNUMBER(IFERROR(MATCH('📋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2" s="22">
        <f t="shared" si="14"/>
        <v>1.0132000000000001</v>
      </c>
    </row>
    <row r="133" spans="1:27" x14ac:dyDescent="0.4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 t="s">
        <v>1414</v>
      </c>
      <c r="Z133" cm="1">
        <f t="array" ref="Z133">IF(Y133="",0,SUMPRODUCT(('📋 Inventaire Complet'!$E$3:$E$517=Y133)*((COUNTIF($B$6:$B$10,TRUE)=0)+ISNUMBER(IFERROR(MATCH('📋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3" s="22">
        <f t="shared" si="14"/>
        <v>1.0133000000000001</v>
      </c>
    </row>
    <row r="134" spans="1:27" x14ac:dyDescent="0.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 t="s">
        <v>1396</v>
      </c>
      <c r="Z134" cm="1">
        <f t="array" ref="Z134">IF(Y134="",0,SUMPRODUCT(('📋 Inventaire Complet'!$E$3:$E$517=Y134)*((COUNTIF($B$6:$B$10,TRUE)=0)+ISNUMBER(IFERROR(MATCH('📋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4" s="22">
        <f t="shared" si="14"/>
        <v>1.0134000000000001</v>
      </c>
    </row>
    <row r="135" spans="1:27" x14ac:dyDescent="0.4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 t="s">
        <v>1289</v>
      </c>
      <c r="Z135" cm="1">
        <f t="array" ref="Z135">IF(Y135="",0,SUMPRODUCT(('📋 Inventaire Complet'!$E$3:$E$517=Y135)*((COUNTIF($B$6:$B$10,TRUE)=0)+ISNUMBER(IFERROR(MATCH('📋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5" s="22">
        <f t="shared" si="14"/>
        <v>1.0135000000000001</v>
      </c>
    </row>
    <row r="136" spans="1:27" x14ac:dyDescent="0.4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 t="s">
        <v>1336</v>
      </c>
      <c r="Z136" cm="1">
        <f t="array" ref="Z136">IF(Y136="",0,SUMPRODUCT(('📋 Inventaire Complet'!$E$3:$E$517=Y136)*((COUNTIF($B$6:$B$10,TRUE)=0)+ISNUMBER(IFERROR(MATCH('📋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6" s="22">
        <f t="shared" si="14"/>
        <v>1.0136000000000001</v>
      </c>
    </row>
    <row r="137" spans="1:27" x14ac:dyDescent="0.4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 t="s">
        <v>1583</v>
      </c>
      <c r="Z137" cm="1">
        <f t="array" ref="Z137">IF(Y137="",0,SUMPRODUCT(('📋 Inventaire Complet'!$E$3:$E$517=Y137)*((COUNTIF($B$6:$B$10,TRUE)=0)+ISNUMBER(IFERROR(MATCH('📋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7" s="22">
        <f t="shared" si="14"/>
        <v>1.0137</v>
      </c>
    </row>
    <row r="138" spans="1:27" x14ac:dyDescent="0.4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 t="s">
        <v>1472</v>
      </c>
      <c r="Z138" cm="1">
        <f t="array" ref="Z138">IF(Y138="",0,SUMPRODUCT(('📋 Inventaire Complet'!$E$3:$E$517=Y138)*((COUNTIF($B$6:$B$10,TRUE)=0)+ISNUMBER(IFERROR(MATCH('📋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8" s="22">
        <f t="shared" si="14"/>
        <v>1.0138</v>
      </c>
    </row>
    <row r="139" spans="1:27" x14ac:dyDescent="0.4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 t="s">
        <v>1478</v>
      </c>
      <c r="Z139" cm="1">
        <f t="array" ref="Z139">IF(Y139="",0,SUMPRODUCT(('📋 Inventaire Complet'!$E$3:$E$517=Y139)*((COUNTIF($B$6:$B$10,TRUE)=0)+ISNUMBER(IFERROR(MATCH('📋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39" s="22">
        <f t="shared" si="14"/>
        <v>1.0139</v>
      </c>
    </row>
    <row r="140" spans="1:27" x14ac:dyDescent="0.4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 t="s">
        <v>1484</v>
      </c>
      <c r="Z140" cm="1">
        <f t="array" ref="Z140">IF(Y140="",0,SUMPRODUCT(('📋 Inventaire Complet'!$E$3:$E$517=Y140)*((COUNTIF($B$6:$B$10,TRUE)=0)+ISNUMBER(IFERROR(MATCH('📋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0" s="22">
        <f t="shared" si="14"/>
        <v>1.014</v>
      </c>
    </row>
    <row r="141" spans="1:27" x14ac:dyDescent="0.4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 t="s">
        <v>1488</v>
      </c>
      <c r="Z141" cm="1">
        <f t="array" ref="Z141">IF(Y141="",0,SUMPRODUCT(('📋 Inventaire Complet'!$E$3:$E$517=Y141)*((COUNTIF($B$6:$B$10,TRUE)=0)+ISNUMBER(IFERROR(MATCH('📋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1" s="22">
        <f t="shared" si="14"/>
        <v>1.0141</v>
      </c>
    </row>
    <row r="142" spans="1:27" x14ac:dyDescent="0.4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 t="s">
        <v>1460</v>
      </c>
      <c r="Z142" cm="1">
        <f t="array" ref="Z142">IF(Y142="",0,SUMPRODUCT(('📋 Inventaire Complet'!$E$3:$E$517=Y142)*((COUNTIF($B$6:$B$10,TRUE)=0)+ISNUMBER(IFERROR(MATCH('📋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2" s="22">
        <f t="shared" si="14"/>
        <v>1.0142</v>
      </c>
    </row>
    <row r="143" spans="1:27" x14ac:dyDescent="0.4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 t="s">
        <v>1589</v>
      </c>
      <c r="Z143" cm="1">
        <f t="array" ref="Z143">IF(Y143="",0,SUMPRODUCT(('📋 Inventaire Complet'!$E$3:$E$517=Y143)*((COUNTIF($B$6:$B$10,TRUE)=0)+ISNUMBER(IFERROR(MATCH('📋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3" s="22">
        <f t="shared" si="14"/>
        <v>1.0143</v>
      </c>
    </row>
    <row r="144" spans="1:27" x14ac:dyDescent="0.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 t="s">
        <v>1561</v>
      </c>
      <c r="Z144" cm="1">
        <f t="array" ref="Z144">IF(Y144="",0,SUMPRODUCT(('📋 Inventaire Complet'!$E$3:$E$517=Y144)*((COUNTIF($B$6:$B$10,TRUE)=0)+ISNUMBER(IFERROR(MATCH('📋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4" s="22">
        <f t="shared" si="14"/>
        <v>1.0144</v>
      </c>
    </row>
    <row r="145" spans="1:27" x14ac:dyDescent="0.4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 t="s">
        <v>1586</v>
      </c>
      <c r="Z145" cm="1">
        <f t="array" ref="Z145">IF(Y145="",0,SUMPRODUCT(('📋 Inventaire Complet'!$E$3:$E$517=Y145)*((COUNTIF($B$6:$B$10,TRUE)=0)+ISNUMBER(IFERROR(MATCH('📋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5" s="22">
        <f t="shared" si="14"/>
        <v>1.0145</v>
      </c>
    </row>
    <row r="146" spans="1:27" x14ac:dyDescent="0.4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 t="s">
        <v>1602</v>
      </c>
      <c r="Z146" cm="1">
        <f t="array" ref="Z146">IF(Y146="",0,SUMPRODUCT(('📋 Inventaire Complet'!$E$3:$E$517=Y146)*((COUNTIF($B$6:$B$10,TRUE)=0)+ISNUMBER(IFERROR(MATCH('📋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6" s="22">
        <f t="shared" si="14"/>
        <v>1.0145999999999999</v>
      </c>
    </row>
    <row r="147" spans="1:27" x14ac:dyDescent="0.4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 t="s">
        <v>1610</v>
      </c>
      <c r="Z147" cm="1">
        <f t="array" ref="Z147">IF(Y147="",0,SUMPRODUCT(('📋 Inventaire Complet'!$E$3:$E$517=Y147)*((COUNTIF($B$6:$B$10,TRUE)=0)+ISNUMBER(IFERROR(MATCH('📋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7" s="22">
        <f t="shared" si="14"/>
        <v>1.0146999999999999</v>
      </c>
    </row>
    <row r="148" spans="1:27" x14ac:dyDescent="0.4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 t="s">
        <v>1498</v>
      </c>
      <c r="Z148" cm="1">
        <f t="array" ref="Z148">IF(Y148="",0,SUMPRODUCT(('📋 Inventaire Complet'!$E$3:$E$517=Y148)*((COUNTIF($B$6:$B$10,TRUE)=0)+ISNUMBER(IFERROR(MATCH('📋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8" s="22">
        <f t="shared" si="14"/>
        <v>1.0147999999999999</v>
      </c>
    </row>
    <row r="149" spans="1:27" x14ac:dyDescent="0.4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 t="s">
        <v>1503</v>
      </c>
      <c r="Z149" cm="1">
        <f t="array" ref="Z149">IF(Y149="",0,SUMPRODUCT(('📋 Inventaire Complet'!$E$3:$E$517=Y149)*((COUNTIF($B$6:$B$10,TRUE)=0)+ISNUMBER(IFERROR(MATCH('📋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49" s="22">
        <f t="shared" si="14"/>
        <v>1.0148999999999999</v>
      </c>
    </row>
    <row r="150" spans="1:27" x14ac:dyDescent="0.4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 t="s">
        <v>1507</v>
      </c>
      <c r="Z150" cm="1">
        <f t="array" ref="Z150">IF(Y150="",0,SUMPRODUCT(('📋 Inventaire Complet'!$E$3:$E$517=Y150)*((COUNTIF($B$6:$B$10,TRUE)=0)+ISNUMBER(IFERROR(MATCH('📋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0" s="22">
        <f t="shared" si="14"/>
        <v>1.0149999999999999</v>
      </c>
    </row>
    <row r="151" spans="1:27" x14ac:dyDescent="0.4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 t="s">
        <v>1512</v>
      </c>
      <c r="Z151" cm="1">
        <f t="array" ref="Z151">IF(Y151="",0,SUMPRODUCT(('📋 Inventaire Complet'!$E$3:$E$517=Y151)*((COUNTIF($B$6:$B$10,TRUE)=0)+ISNUMBER(IFERROR(MATCH('📋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1" s="22">
        <f t="shared" si="14"/>
        <v>1.0150999999999999</v>
      </c>
    </row>
    <row r="152" spans="1:27" x14ac:dyDescent="0.4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 t="s">
        <v>1515</v>
      </c>
      <c r="Z152" cm="1">
        <f t="array" ref="Z152">IF(Y152="",0,SUMPRODUCT(('📋 Inventaire Complet'!$E$3:$E$517=Y152)*((COUNTIF($B$6:$B$10,TRUE)=0)+ISNUMBER(IFERROR(MATCH('📋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2" s="22">
        <f t="shared" si="14"/>
        <v>1.0152000000000001</v>
      </c>
    </row>
    <row r="153" spans="1:27" x14ac:dyDescent="0.4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 t="s">
        <v>1521</v>
      </c>
      <c r="Z153" cm="1">
        <f t="array" ref="Z153">IF(Y153="",0,SUMPRODUCT(('📋 Inventaire Complet'!$E$3:$E$517=Y153)*((COUNTIF($B$6:$B$10,TRUE)=0)+ISNUMBER(IFERROR(MATCH('📋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3" s="22">
        <f t="shared" si="14"/>
        <v>1.0153000000000001</v>
      </c>
    </row>
    <row r="154" spans="1:27" x14ac:dyDescent="0.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 t="s">
        <v>1525</v>
      </c>
      <c r="Z154" cm="1">
        <f t="array" ref="Z154">IF(Y154="",0,SUMPRODUCT(('📋 Inventaire Complet'!$E$3:$E$517=Y154)*((COUNTIF($B$6:$B$10,TRUE)=0)+ISNUMBER(IFERROR(MATCH('📋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4" s="22">
        <f t="shared" si="14"/>
        <v>1.0154000000000001</v>
      </c>
    </row>
    <row r="155" spans="1:27" x14ac:dyDescent="0.4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 t="s">
        <v>1528</v>
      </c>
      <c r="Z155" cm="1">
        <f t="array" ref="Z155">IF(Y155="",0,SUMPRODUCT(('📋 Inventaire Complet'!$E$3:$E$517=Y155)*((COUNTIF($B$6:$B$10,TRUE)=0)+ISNUMBER(IFERROR(MATCH('📋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5" s="22">
        <f t="shared" si="14"/>
        <v>1.0155000000000001</v>
      </c>
    </row>
    <row r="156" spans="1:27" x14ac:dyDescent="0.4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 t="s">
        <v>1531</v>
      </c>
      <c r="Z156" cm="1">
        <f t="array" ref="Z156">IF(Y156="",0,SUMPRODUCT(('📋 Inventaire Complet'!$E$3:$E$517=Y156)*((COUNTIF($B$6:$B$10,TRUE)=0)+ISNUMBER(IFERROR(MATCH('📋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6" s="22">
        <f t="shared" si="14"/>
        <v>1.0156000000000001</v>
      </c>
    </row>
    <row r="157" spans="1:27" x14ac:dyDescent="0.4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 t="s">
        <v>1537</v>
      </c>
      <c r="Z157" cm="1">
        <f t="array" ref="Z157">IF(Y157="",0,SUMPRODUCT(('📋 Inventaire Complet'!$E$3:$E$517=Y157)*((COUNTIF($B$6:$B$10,TRUE)=0)+ISNUMBER(IFERROR(MATCH('📋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7" s="22">
        <f t="shared" si="14"/>
        <v>1.0157</v>
      </c>
    </row>
    <row r="158" spans="1:27" x14ac:dyDescent="0.4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 t="s">
        <v>1540</v>
      </c>
      <c r="Z158" cm="1">
        <f t="array" ref="Z158">IF(Y158="",0,SUMPRODUCT(('📋 Inventaire Complet'!$E$3:$E$517=Y158)*((COUNTIF($B$6:$B$10,TRUE)=0)+ISNUMBER(IFERROR(MATCH('📋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8" s="22">
        <f t="shared" si="14"/>
        <v>1.0158</v>
      </c>
    </row>
    <row r="159" spans="1:27" x14ac:dyDescent="0.4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 t="s">
        <v>1543</v>
      </c>
      <c r="Z159" cm="1">
        <f t="array" ref="Z159">IF(Y159="",0,SUMPRODUCT(('📋 Inventaire Complet'!$E$3:$E$517=Y159)*((COUNTIF($B$6:$B$10,TRUE)=0)+ISNUMBER(IFERROR(MATCH('📋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59" s="22">
        <f t="shared" si="14"/>
        <v>1.0159</v>
      </c>
    </row>
    <row r="160" spans="1:27" x14ac:dyDescent="0.4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 t="s">
        <v>1546</v>
      </c>
      <c r="Z160" cm="1">
        <f t="array" ref="Z160">IF(Y160="",0,SUMPRODUCT(('📋 Inventaire Complet'!$E$3:$E$517=Y160)*((COUNTIF($B$6:$B$10,TRUE)=0)+ISNUMBER(IFERROR(MATCH('📋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0" s="22">
        <f t="shared" si="14"/>
        <v>1.016</v>
      </c>
    </row>
    <row r="161" spans="1:27" x14ac:dyDescent="0.4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 t="s">
        <v>1592</v>
      </c>
      <c r="Z161" cm="1">
        <f t="array" ref="Z161">IF(Y161="",0,SUMPRODUCT(('📋 Inventaire Complet'!$E$3:$E$517=Y161)*((COUNTIF($B$6:$B$10,TRUE)=0)+ISNUMBER(IFERROR(MATCH('📋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1" s="22">
        <f t="shared" si="14"/>
        <v>1.0161</v>
      </c>
    </row>
    <row r="162" spans="1:27" x14ac:dyDescent="0.4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 t="s">
        <v>1552</v>
      </c>
      <c r="Z162" cm="1">
        <f t="array" ref="Z162">IF(Y162="",0,SUMPRODUCT(('📋 Inventaire Complet'!$E$3:$E$517=Y162)*((COUNTIF($B$6:$B$10,TRUE)=0)+ISNUMBER(IFERROR(MATCH('📋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2" s="22">
        <f t="shared" si="14"/>
        <v>1.0162</v>
      </c>
    </row>
    <row r="163" spans="1:27" x14ac:dyDescent="0.4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 t="s">
        <v>1555</v>
      </c>
      <c r="Z163" cm="1">
        <f t="array" ref="Z163">IF(Y163="",0,SUMPRODUCT(('📋 Inventaire Complet'!$E$3:$E$517=Y163)*((COUNTIF($B$6:$B$10,TRUE)=0)+ISNUMBER(IFERROR(MATCH('📋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3" s="22">
        <f t="shared" si="14"/>
        <v>1.0163</v>
      </c>
    </row>
    <row r="164" spans="1:27" x14ac:dyDescent="0.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 t="s">
        <v>1456</v>
      </c>
      <c r="Z164" cm="1">
        <f t="array" ref="Z164">IF(Y164="",0,SUMPRODUCT(('📋 Inventaire Complet'!$E$3:$E$517=Y164)*((COUNTIF($B$6:$B$10,TRUE)=0)+ISNUMBER(IFERROR(MATCH('📋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2</v>
      </c>
      <c r="AA164" s="22">
        <f t="shared" si="14"/>
        <v>2.0164</v>
      </c>
    </row>
    <row r="165" spans="1:27" x14ac:dyDescent="0.4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 t="s">
        <v>1558</v>
      </c>
      <c r="Z165" cm="1">
        <f t="array" ref="Z165">IF(Y165="",0,SUMPRODUCT(('📋 Inventaire Complet'!$E$3:$E$517=Y165)*((COUNTIF($B$6:$B$10,TRUE)=0)+ISNUMBER(IFERROR(MATCH('📋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5" s="22">
        <f t="shared" si="14"/>
        <v>1.0165</v>
      </c>
    </row>
    <row r="166" spans="1:27" x14ac:dyDescent="0.4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 t="s">
        <v>1564</v>
      </c>
      <c r="Z166" cm="1">
        <f t="array" ref="Z166">IF(Y166="",0,SUMPRODUCT(('📋 Inventaire Complet'!$E$3:$E$517=Y166)*((COUNTIF($B$6:$B$10,TRUE)=0)+ISNUMBER(IFERROR(MATCH('📋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6" s="22">
        <f t="shared" si="14"/>
        <v>1.0165999999999999</v>
      </c>
    </row>
    <row r="167" spans="1:27" x14ac:dyDescent="0.4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 t="s">
        <v>1464</v>
      </c>
      <c r="Z167" cm="1">
        <f t="array" ref="Z167">IF(Y167="",0,SUMPRODUCT(('📋 Inventaire Complet'!$E$3:$E$517=Y167)*((COUNTIF($B$6:$B$10,TRUE)=0)+ISNUMBER(IFERROR(MATCH('📋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7" s="22">
        <f t="shared" si="14"/>
        <v>1.0166999999999999</v>
      </c>
    </row>
    <row r="168" spans="1:27" x14ac:dyDescent="0.4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 t="s">
        <v>1599</v>
      </c>
      <c r="Z168" cm="1">
        <f t="array" ref="Z168">IF(Y168="",0,SUMPRODUCT(('📋 Inventaire Complet'!$E$3:$E$517=Y168)*((COUNTIF($B$6:$B$10,TRUE)=0)+ISNUMBER(IFERROR(MATCH('📋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8" s="22">
        <f t="shared" si="14"/>
        <v>1.0167999999999999</v>
      </c>
    </row>
    <row r="169" spans="1:27" x14ac:dyDescent="0.4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 t="s">
        <v>1567</v>
      </c>
      <c r="Z169" cm="1">
        <f t="array" ref="Z169">IF(Y169="",0,SUMPRODUCT(('📋 Inventaire Complet'!$E$3:$E$517=Y169)*((COUNTIF($B$6:$B$10,TRUE)=0)+ISNUMBER(IFERROR(MATCH('📋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69" s="22">
        <f t="shared" si="14"/>
        <v>1.0168999999999999</v>
      </c>
    </row>
    <row r="170" spans="1:27" x14ac:dyDescent="0.4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 t="s">
        <v>1570</v>
      </c>
      <c r="Z170" cm="1">
        <f t="array" ref="Z170">IF(Y170="",0,SUMPRODUCT(('📋 Inventaire Complet'!$E$3:$E$517=Y170)*((COUNTIF($B$6:$B$10,TRUE)=0)+ISNUMBER(IFERROR(MATCH('📋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0" s="22">
        <f t="shared" si="14"/>
        <v>1.0169999999999999</v>
      </c>
    </row>
    <row r="171" spans="1:27" x14ac:dyDescent="0.4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 t="s">
        <v>1534</v>
      </c>
      <c r="Z171" cm="1">
        <f t="array" ref="Z171">IF(Y171="",0,SUMPRODUCT(('📋 Inventaire Complet'!$E$3:$E$517=Y171)*((COUNTIF($B$6:$B$10,TRUE)=0)+ISNUMBER(IFERROR(MATCH('📋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1" s="22">
        <f t="shared" si="14"/>
        <v>1.0170999999999999</v>
      </c>
    </row>
    <row r="172" spans="1:27" x14ac:dyDescent="0.4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 t="s">
        <v>1619</v>
      </c>
      <c r="Z172" cm="1">
        <f t="array" ref="Z172">IF(Y172="",0,SUMPRODUCT(('📋 Inventaire Complet'!$E$3:$E$517=Y172)*((COUNTIF($B$6:$B$10,TRUE)=0)+ISNUMBER(IFERROR(MATCH('📋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2" s="22">
        <f t="shared" si="14"/>
        <v>1.0172000000000001</v>
      </c>
    </row>
    <row r="173" spans="1:27" x14ac:dyDescent="0.4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 t="s">
        <v>1692</v>
      </c>
      <c r="Z173" cm="1">
        <f t="array" ref="Z173">IF(Y173="",0,SUMPRODUCT(('📋 Inventaire Complet'!$E$3:$E$517=Y173)*((COUNTIF($B$6:$B$10,TRUE)=0)+ISNUMBER(IFERROR(MATCH('📋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3" s="22">
        <f t="shared" si="14"/>
        <v>1.0173000000000001</v>
      </c>
    </row>
    <row r="174" spans="1:27" x14ac:dyDescent="0.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 t="s">
        <v>1646</v>
      </c>
      <c r="Z174" cm="1">
        <f t="array" ref="Z174">IF(Y174="",0,SUMPRODUCT(('📋 Inventaire Complet'!$E$3:$E$517=Y174)*((COUNTIF($B$6:$B$10,TRUE)=0)+ISNUMBER(IFERROR(MATCH('📋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4" s="22">
        <f t="shared" si="14"/>
        <v>1.0174000000000001</v>
      </c>
    </row>
    <row r="175" spans="1:27" x14ac:dyDescent="0.4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 t="s">
        <v>1675</v>
      </c>
      <c r="Z175" cm="1">
        <f t="array" ref="Z175">IF(Y175="",0,SUMPRODUCT(('📋 Inventaire Complet'!$E$3:$E$517=Y175)*((COUNTIF($B$6:$B$10,TRUE)=0)+ISNUMBER(IFERROR(MATCH('📋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5" s="22">
        <f t="shared" si="14"/>
        <v>1.0175000000000001</v>
      </c>
    </row>
    <row r="176" spans="1:27" x14ac:dyDescent="0.4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 t="s">
        <v>1672</v>
      </c>
      <c r="Z176" cm="1">
        <f t="array" ref="Z176">IF(Y176="",0,SUMPRODUCT(('📋 Inventaire Complet'!$E$3:$E$517=Y176)*((COUNTIF($B$6:$B$10,TRUE)=0)+ISNUMBER(IFERROR(MATCH('📋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6" s="22">
        <f t="shared" si="14"/>
        <v>1.0176000000000001</v>
      </c>
    </row>
    <row r="177" spans="1:27" x14ac:dyDescent="0.4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 t="s">
        <v>1678</v>
      </c>
      <c r="Z177" cm="1">
        <f t="array" ref="Z177">IF(Y177="",0,SUMPRODUCT(('📋 Inventaire Complet'!$E$3:$E$517=Y177)*((COUNTIF($B$6:$B$10,TRUE)=0)+ISNUMBER(IFERROR(MATCH('📋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7" s="22">
        <f t="shared" si="14"/>
        <v>1.0177</v>
      </c>
    </row>
    <row r="178" spans="1:27" x14ac:dyDescent="0.4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 t="s">
        <v>1655</v>
      </c>
      <c r="Z178" cm="1">
        <f t="array" ref="Z178">IF(Y178="",0,SUMPRODUCT(('📋 Inventaire Complet'!$E$3:$E$517=Y178)*((COUNTIF($B$6:$B$10,TRUE)=0)+ISNUMBER(IFERROR(MATCH('📋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8" s="22">
        <f t="shared" si="14"/>
        <v>1.0178</v>
      </c>
    </row>
    <row r="179" spans="1:27" x14ac:dyDescent="0.4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 t="s">
        <v>1715</v>
      </c>
      <c r="Z179" cm="1">
        <f t="array" ref="Z179">IF(Y179="",0,SUMPRODUCT(('📋 Inventaire Complet'!$E$3:$E$517=Y179)*((COUNTIF($B$6:$B$10,TRUE)=0)+ISNUMBER(IFERROR(MATCH('📋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1</v>
      </c>
      <c r="AA179" s="22">
        <f t="shared" si="14"/>
        <v>1.0179</v>
      </c>
    </row>
    <row r="180" spans="1:27" x14ac:dyDescent="0.4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cm="1">
        <f t="array" ref="Z180">IF(Y180="",0,SUMPRODUCT(('📋 Inventaire Complet'!$E$3:$E$517=Y180)*((COUNTIF($B$6:$B$10,TRUE)=0)+ISNUMBER(IFERROR(MATCH('📋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0" s="22">
        <f t="shared" si="14"/>
        <v>0</v>
      </c>
    </row>
    <row r="181" spans="1:27" x14ac:dyDescent="0.4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cm="1">
        <f t="array" ref="Z181">IF(Y181="",0,SUMPRODUCT(('📋 Inventaire Complet'!$E$3:$E$517=Y181)*((COUNTIF($B$6:$B$10,TRUE)=0)+ISNUMBER(IFERROR(MATCH('📋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1" s="22">
        <f t="shared" si="14"/>
        <v>0</v>
      </c>
    </row>
    <row r="182" spans="1:27" x14ac:dyDescent="0.4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cm="1">
        <f t="array" ref="Z182">IF(Y182="",0,SUMPRODUCT(('📋 Inventaire Complet'!$E$3:$E$517=Y182)*((COUNTIF($B$6:$B$10,TRUE)=0)+ISNUMBER(IFERROR(MATCH('📋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2" s="22">
        <f t="shared" si="14"/>
        <v>0</v>
      </c>
    </row>
    <row r="183" spans="1:27" x14ac:dyDescent="0.4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cm="1">
        <f t="array" ref="Z183">IF(Y183="",0,SUMPRODUCT(('📋 Inventaire Complet'!$E$3:$E$517=Y183)*((COUNTIF($B$6:$B$10,TRUE)=0)+ISNUMBER(IFERROR(MATCH('📋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3" s="22">
        <f t="shared" si="14"/>
        <v>0</v>
      </c>
    </row>
    <row r="184" spans="1:27" x14ac:dyDescent="0.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cm="1">
        <f t="array" ref="Z184">IF(Y184="",0,SUMPRODUCT(('📋 Inventaire Complet'!$E$3:$E$517=Y184)*((COUNTIF($B$6:$B$10,TRUE)=0)+ISNUMBER(IFERROR(MATCH('📋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4" s="22">
        <f t="shared" si="14"/>
        <v>0</v>
      </c>
    </row>
    <row r="185" spans="1:27" x14ac:dyDescent="0.4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cm="1">
        <f t="array" ref="Z185">IF(Y185="",0,SUMPRODUCT(('📋 Inventaire Complet'!$E$3:$E$517=Y185)*((COUNTIF($B$6:$B$10,TRUE)=0)+ISNUMBER(IFERROR(MATCH('📋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5" s="22">
        <f t="shared" si="14"/>
        <v>0</v>
      </c>
    </row>
    <row r="186" spans="1:27" x14ac:dyDescent="0.4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cm="1">
        <f t="array" ref="Z186">IF(Y186="",0,SUMPRODUCT(('📋 Inventaire Complet'!$E$3:$E$517=Y186)*((COUNTIF($B$6:$B$10,TRUE)=0)+ISNUMBER(IFERROR(MATCH('📋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6" s="22">
        <f t="shared" si="14"/>
        <v>0</v>
      </c>
    </row>
    <row r="187" spans="1:27" x14ac:dyDescent="0.4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cm="1">
        <f t="array" ref="Z187">IF(Y187="",0,SUMPRODUCT(('📋 Inventaire Complet'!$E$3:$E$517=Y187)*((COUNTIF($B$6:$B$10,TRUE)=0)+ISNUMBER(IFERROR(MATCH('📋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7" s="22">
        <f t="shared" si="14"/>
        <v>0</v>
      </c>
    </row>
    <row r="188" spans="1:27" x14ac:dyDescent="0.4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cm="1">
        <f t="array" ref="Z188">IF(Y188="",0,SUMPRODUCT(('📋 Inventaire Complet'!$E$3:$E$517=Y188)*((COUNTIF($B$6:$B$10,TRUE)=0)+ISNUMBER(IFERROR(MATCH('📋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8" s="22">
        <f t="shared" si="14"/>
        <v>0</v>
      </c>
    </row>
    <row r="189" spans="1:27" x14ac:dyDescent="0.4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cm="1">
        <f t="array" ref="Z189">IF(Y189="",0,SUMPRODUCT(('📋 Inventaire Complet'!$E$3:$E$517=Y189)*((COUNTIF($B$6:$B$10,TRUE)=0)+ISNUMBER(IFERROR(MATCH('📋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89" s="22">
        <f t="shared" si="14"/>
        <v>0</v>
      </c>
    </row>
    <row r="190" spans="1:27" x14ac:dyDescent="0.4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cm="1">
        <f t="array" ref="Z190">IF(Y190="",0,SUMPRODUCT(('📋 Inventaire Complet'!$E$3:$E$517=Y190)*((COUNTIF($B$6:$B$10,TRUE)=0)+ISNUMBER(IFERROR(MATCH('📋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0" s="22">
        <f t="shared" si="14"/>
        <v>0</v>
      </c>
    </row>
    <row r="191" spans="1:27" x14ac:dyDescent="0.4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cm="1">
        <f t="array" ref="Z191">IF(Y191="",0,SUMPRODUCT(('📋 Inventaire Complet'!$E$3:$E$517=Y191)*((COUNTIF($B$6:$B$10,TRUE)=0)+ISNUMBER(IFERROR(MATCH('📋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1" s="22">
        <f t="shared" si="14"/>
        <v>0</v>
      </c>
    </row>
    <row r="192" spans="1:27" x14ac:dyDescent="0.4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cm="1">
        <f t="array" ref="Z192">IF(Y192="",0,SUMPRODUCT(('📋 Inventaire Complet'!$E$3:$E$517=Y192)*((COUNTIF($B$6:$B$10,TRUE)=0)+ISNUMBER(IFERROR(MATCH('📋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2" s="22">
        <f t="shared" si="14"/>
        <v>0</v>
      </c>
    </row>
    <row r="193" spans="1:27" x14ac:dyDescent="0.4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cm="1">
        <f t="array" ref="Z193">IF(Y193="",0,SUMPRODUCT(('📋 Inventaire Complet'!$E$3:$E$517=Y193)*((COUNTIF($B$6:$B$10,TRUE)=0)+ISNUMBER(IFERROR(MATCH('📋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3" s="22">
        <f t="shared" si="14"/>
        <v>0</v>
      </c>
    </row>
    <row r="194" spans="1:27" x14ac:dyDescent="0.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cm="1">
        <f t="array" ref="Z194">IF(Y194="",0,SUMPRODUCT(('📋 Inventaire Complet'!$E$3:$E$517=Y194)*((COUNTIF($B$6:$B$10,TRUE)=0)+ISNUMBER(IFERROR(MATCH('📋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4" s="22">
        <f t="shared" ref="AA194:AA218" si="15">IF(Y194="",0,Z194+ROW()/10000)</f>
        <v>0</v>
      </c>
    </row>
    <row r="195" spans="1:27" x14ac:dyDescent="0.4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cm="1">
        <f t="array" ref="Z195">IF(Y195="",0,SUMPRODUCT(('📋 Inventaire Complet'!$E$3:$E$517=Y195)*((COUNTIF($B$6:$B$10,TRUE)=0)+ISNUMBER(IFERROR(MATCH('📋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5" s="22">
        <f t="shared" si="15"/>
        <v>0</v>
      </c>
    </row>
    <row r="196" spans="1:27" x14ac:dyDescent="0.4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cm="1">
        <f t="array" ref="Z196">IF(Y196="",0,SUMPRODUCT(('📋 Inventaire Complet'!$E$3:$E$517=Y196)*((COUNTIF($B$6:$B$10,TRUE)=0)+ISNUMBER(IFERROR(MATCH('📋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6" s="22">
        <f t="shared" si="15"/>
        <v>0</v>
      </c>
    </row>
    <row r="197" spans="1:27" x14ac:dyDescent="0.4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cm="1">
        <f t="array" ref="Z197">IF(Y197="",0,SUMPRODUCT(('📋 Inventaire Complet'!$E$3:$E$517=Y197)*((COUNTIF($B$6:$B$10,TRUE)=0)+ISNUMBER(IFERROR(MATCH('📋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7" s="22">
        <f t="shared" si="15"/>
        <v>0</v>
      </c>
    </row>
    <row r="198" spans="1:27" x14ac:dyDescent="0.4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cm="1">
        <f t="array" ref="Z198">IF(Y198="",0,SUMPRODUCT(('📋 Inventaire Complet'!$E$3:$E$517=Y198)*((COUNTIF($B$6:$B$10,TRUE)=0)+ISNUMBER(IFERROR(MATCH('📋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8" s="22">
        <f t="shared" si="15"/>
        <v>0</v>
      </c>
    </row>
    <row r="199" spans="1:27" x14ac:dyDescent="0.4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cm="1">
        <f t="array" ref="Z199">IF(Y199="",0,SUMPRODUCT(('📋 Inventaire Complet'!$E$3:$E$517=Y199)*((COUNTIF($B$6:$B$10,TRUE)=0)+ISNUMBER(IFERROR(MATCH('📋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199" s="22">
        <f t="shared" si="15"/>
        <v>0</v>
      </c>
    </row>
    <row r="200" spans="1:27" x14ac:dyDescent="0.4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cm="1">
        <f t="array" ref="Z200">IF(Y200="",0,SUMPRODUCT(('📋 Inventaire Complet'!$E$3:$E$517=Y200)*((COUNTIF($B$6:$B$10,TRUE)=0)+ISNUMBER(IFERROR(MATCH('📋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0" s="22">
        <f t="shared" si="15"/>
        <v>0</v>
      </c>
    </row>
    <row r="201" spans="1:27" x14ac:dyDescent="0.4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cm="1">
        <f t="array" ref="Z201">IF(Y201="",0,SUMPRODUCT(('📋 Inventaire Complet'!$E$3:$E$517=Y201)*((COUNTIF($B$6:$B$10,TRUE)=0)+ISNUMBER(IFERROR(MATCH('📋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1" s="22">
        <f t="shared" si="15"/>
        <v>0</v>
      </c>
    </row>
    <row r="202" spans="1:27" x14ac:dyDescent="0.4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cm="1">
        <f t="array" ref="Z202">IF(Y202="",0,SUMPRODUCT(('📋 Inventaire Complet'!$E$3:$E$517=Y202)*((COUNTIF($B$6:$B$10,TRUE)=0)+ISNUMBER(IFERROR(MATCH('📋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2" s="22">
        <f t="shared" si="15"/>
        <v>0</v>
      </c>
    </row>
    <row r="203" spans="1:27" x14ac:dyDescent="0.4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cm="1">
        <f t="array" ref="Z203">IF(Y203="",0,SUMPRODUCT(('📋 Inventaire Complet'!$E$3:$E$517=Y203)*((COUNTIF($B$6:$B$10,TRUE)=0)+ISNUMBER(IFERROR(MATCH('📋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3" s="22">
        <f t="shared" si="15"/>
        <v>0</v>
      </c>
    </row>
    <row r="204" spans="1:27" x14ac:dyDescent="0.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cm="1">
        <f t="array" ref="Z204">IF(Y204="",0,SUMPRODUCT(('📋 Inventaire Complet'!$E$3:$E$517=Y204)*((COUNTIF($B$6:$B$10,TRUE)=0)+ISNUMBER(IFERROR(MATCH('📋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4" s="22">
        <f t="shared" si="15"/>
        <v>0</v>
      </c>
    </row>
    <row r="205" spans="1:27" x14ac:dyDescent="0.4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cm="1">
        <f t="array" ref="Z205">IF(Y205="",0,SUMPRODUCT(('📋 Inventaire Complet'!$E$3:$E$517=Y205)*((COUNTIF($B$6:$B$10,TRUE)=0)+ISNUMBER(IFERROR(MATCH('📋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5" s="22">
        <f t="shared" si="15"/>
        <v>0</v>
      </c>
    </row>
    <row r="206" spans="1:27" x14ac:dyDescent="0.4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cm="1">
        <f t="array" ref="Z206">IF(Y206="",0,SUMPRODUCT(('📋 Inventaire Complet'!$E$3:$E$517=Y206)*((COUNTIF($B$6:$B$10,TRUE)=0)+ISNUMBER(IFERROR(MATCH('📋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6" s="22">
        <f t="shared" si="15"/>
        <v>0</v>
      </c>
    </row>
    <row r="207" spans="1:27" x14ac:dyDescent="0.4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cm="1">
        <f t="array" ref="Z207">IF(Y207="",0,SUMPRODUCT(('📋 Inventaire Complet'!$E$3:$E$517=Y207)*((COUNTIF($B$6:$B$10,TRUE)=0)+ISNUMBER(IFERROR(MATCH('📋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7" s="22">
        <f t="shared" si="15"/>
        <v>0</v>
      </c>
    </row>
    <row r="208" spans="1:27" x14ac:dyDescent="0.4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cm="1">
        <f t="array" ref="Z208">IF(Y208="",0,SUMPRODUCT(('📋 Inventaire Complet'!$E$3:$E$517=Y208)*((COUNTIF($B$6:$B$10,TRUE)=0)+ISNUMBER(IFERROR(MATCH('📋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8" s="22">
        <f t="shared" si="15"/>
        <v>0</v>
      </c>
    </row>
    <row r="209" spans="1:27" x14ac:dyDescent="0.4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cm="1">
        <f t="array" ref="Z209">IF(Y209="",0,SUMPRODUCT(('📋 Inventaire Complet'!$E$3:$E$517=Y209)*((COUNTIF($B$6:$B$10,TRUE)=0)+ISNUMBER(IFERROR(MATCH('📋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09" s="22">
        <f t="shared" si="15"/>
        <v>0</v>
      </c>
    </row>
    <row r="210" spans="1:27" x14ac:dyDescent="0.4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cm="1">
        <f t="array" ref="Z210">IF(Y210="",0,SUMPRODUCT(('📋 Inventaire Complet'!$E$3:$E$517=Y210)*((COUNTIF($B$6:$B$10,TRUE)=0)+ISNUMBER(IFERROR(MATCH('📋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0" s="22">
        <f t="shared" si="15"/>
        <v>0</v>
      </c>
    </row>
    <row r="211" spans="1:27" x14ac:dyDescent="0.4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cm="1">
        <f t="array" ref="Z211">IF(Y211="",0,SUMPRODUCT(('📋 Inventaire Complet'!$E$3:$E$517=Y211)*((COUNTIF($B$6:$B$10,TRUE)=0)+ISNUMBER(IFERROR(MATCH('📋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1" s="22">
        <f t="shared" si="15"/>
        <v>0</v>
      </c>
    </row>
    <row r="212" spans="1:27" x14ac:dyDescent="0.4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cm="1">
        <f t="array" ref="Z212">IF(Y212="",0,SUMPRODUCT(('📋 Inventaire Complet'!$E$3:$E$517=Y212)*((COUNTIF($B$6:$B$10,TRUE)=0)+ISNUMBER(IFERROR(MATCH('📋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2" s="22">
        <f t="shared" si="15"/>
        <v>0</v>
      </c>
    </row>
    <row r="213" spans="1:27" x14ac:dyDescent="0.4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cm="1">
        <f t="array" ref="Z213">IF(Y213="",0,SUMPRODUCT(('📋 Inventaire Complet'!$E$3:$E$517=Y213)*((COUNTIF($B$6:$B$10,TRUE)=0)+ISNUMBER(IFERROR(MATCH('📋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3" s="22">
        <f t="shared" si="15"/>
        <v>0</v>
      </c>
    </row>
    <row r="214" spans="1:27" x14ac:dyDescent="0.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cm="1">
        <f t="array" ref="Z214">IF(Y214="",0,SUMPRODUCT(('📋 Inventaire Complet'!$E$3:$E$517=Y214)*((COUNTIF($B$6:$B$10,TRUE)=0)+ISNUMBER(IFERROR(MATCH('📋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4" s="22">
        <f t="shared" si="15"/>
        <v>0</v>
      </c>
    </row>
    <row r="215" spans="1:27" x14ac:dyDescent="0.4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cm="1">
        <f t="array" ref="Z215">IF(Y215="",0,SUMPRODUCT(('📋 Inventaire Complet'!$E$3:$E$517=Y215)*((COUNTIF($B$6:$B$10,TRUE)=0)+ISNUMBER(IFERROR(MATCH('📋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5" s="22">
        <f t="shared" si="15"/>
        <v>0</v>
      </c>
    </row>
    <row r="216" spans="1:27" x14ac:dyDescent="0.4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cm="1">
        <f t="array" ref="Z216">IF(Y216="",0,SUMPRODUCT(('📋 Inventaire Complet'!$E$3:$E$517=Y216)*((COUNTIF($B$6:$B$10,TRUE)=0)+ISNUMBER(IFERROR(MATCH('📋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6" s="22">
        <f t="shared" si="15"/>
        <v>0</v>
      </c>
    </row>
    <row r="217" spans="1:27" x14ac:dyDescent="0.4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cm="1">
        <f t="array" ref="Z217">IF(Y217="",0,SUMPRODUCT(('📋 Inventaire Complet'!$E$3:$E$517=Y217)*((COUNTIF($B$6:$B$10,TRUE)=0)+ISNUMBER(IFERROR(MATCH('📋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7" s="22">
        <f t="shared" si="15"/>
        <v>0</v>
      </c>
    </row>
    <row r="218" spans="1:27" x14ac:dyDescent="0.4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cm="1">
        <f t="array" ref="Z218">IF(Y218="",0,SUMPRODUCT(('📋 Inventaire Complet'!$E$3:$E$517=Y218)*((COUNTIF($B$6:$B$10,TRUE)=0)+ISNUMBER(IFERROR(MATCH('📋 Inventaire Complet'!$B$3:$B$517,IF($B$6:$B$10,$A$6:$A$10),0),""))&gt;0)*((COUNTIF($D$6:$D$22,TRUE)=0)+ISNUMBER(IFERROR(MATCH(LEFT('📋 Inventaire Complet'!$J$3:$J$517,4),IF($D$6:$D$22,$C$6:$C$22&amp;""),0),""))&gt;0)*((COUNTIF($F$6:$F$20,TRUE)=0)+(ISNUMBER(IFERROR(MATCH('📋 Inventaire Complet'!$F$3:$F$517,IF($F$6:$F$19,$E$6:$E$19),0),""))+($F$20*ISNUMBER(MATCH('📋 Inventaire Complet'!$F$3:$F$517,{"D4R";"CEPH";"ISTI";"COLCOM";"HTMR"},0))))&gt;0)*((COUNTIF($H$6:$H$10,TRUE)=0)+(($H$6*ISNUMBER(SEARCH($G$6,'📋 Inventaire Complet'!$L$3:$L$517)))+($H$7*ISNUMBER(SEARCH($G$7,'📋 Inventaire Complet'!$L$3:$L$517)))+($H$8*ISNUMBER(SEARCH($G$8,'📋 Inventaire Complet'!$L$3:$L$517)))+($H$9*ISNUMBER(SEARCH($G$9,'📋 Inventaire Complet'!$L$3:$L$517)))+($H$10*ISNUMBER(SEARCH($G$10,'📋 Inventaire Complet'!$L$3:$L$517))))&gt;0)))</f>
        <v>0</v>
      </c>
      <c r="AA218" s="22">
        <f t="shared" si="15"/>
        <v>0</v>
      </c>
    </row>
  </sheetData>
  <mergeCells count="14">
    <mergeCell ref="G71:I71"/>
    <mergeCell ref="A5:B5"/>
    <mergeCell ref="C5:D5"/>
    <mergeCell ref="G5:H5"/>
    <mergeCell ref="A51:G51"/>
    <mergeCell ref="A71:E71"/>
    <mergeCell ref="A1:K1"/>
    <mergeCell ref="A2:K2"/>
    <mergeCell ref="E5:F5"/>
    <mergeCell ref="A26:K26"/>
    <mergeCell ref="A33:C33"/>
    <mergeCell ref="E33:G33"/>
    <mergeCell ref="I33:K33"/>
    <mergeCell ref="A4:H4"/>
  </mergeCells>
  <pageMargins left="0.7" right="0.7" top="0.75" bottom="0.75" header="0.3" footer="0.3"/>
  <pageSetup paperSize="0" scale="60" orientation="landscape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C908-FD36-4A01-95DE-72B46FF373A8}">
  <dimension ref="A1:AD524"/>
  <sheetViews>
    <sheetView zoomScale="74" workbookViewId="0">
      <selection activeCell="J9" sqref="I9:J9"/>
    </sheetView>
  </sheetViews>
  <sheetFormatPr baseColWidth="10" defaultColWidth="8.81640625" defaultRowHeight="13.5" x14ac:dyDescent="0.25"/>
  <cols>
    <col min="1" max="1" width="42.6328125" style="20" customWidth="1"/>
    <col min="2" max="2" width="18.54296875" style="20" customWidth="1"/>
    <col min="3" max="11" width="22.1796875" style="20" customWidth="1"/>
    <col min="12" max="18" width="8.81640625" style="20"/>
    <col min="19" max="21" width="0" style="20" hidden="1" customWidth="1"/>
    <col min="22" max="16384" width="8.81640625" style="20"/>
  </cols>
  <sheetData>
    <row r="1" spans="1:30" ht="27" x14ac:dyDescent="0.5">
      <c r="A1" s="254" t="s">
        <v>2481</v>
      </c>
      <c r="B1" s="254"/>
      <c r="C1" s="254"/>
      <c r="D1" s="254"/>
      <c r="E1" s="254"/>
      <c r="F1" s="254"/>
      <c r="G1" s="254"/>
      <c r="H1" s="254"/>
      <c r="I1" s="254"/>
      <c r="S1" s="20" t="s">
        <v>338</v>
      </c>
      <c r="T1" s="20" cm="1">
        <f t="array" ref="T1">SUMPRODUCT((ISNUMBER(SEARCH($S1,'BREVETS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1" s="20">
        <f>T1+ROW()/10000</f>
        <v>2.0001000000000002</v>
      </c>
      <c r="Z1"/>
      <c r="AC1" s="20" t="s">
        <v>2442</v>
      </c>
      <c r="AD1" s="20" t="s">
        <v>397</v>
      </c>
    </row>
    <row r="2" spans="1:30" ht="14.5" x14ac:dyDescent="0.35">
      <c r="S2" s="20" t="s">
        <v>2425</v>
      </c>
      <c r="T2" s="20" cm="1">
        <f t="array" ref="T2">SUMPRODUCT((ISNUMBER(SEARCH($S2,'BREVETS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2" s="20">
        <f t="shared" ref="U2:U47" si="0">T2+ROW()/10000</f>
        <v>2.0002</v>
      </c>
      <c r="Z2"/>
      <c r="AC2" s="20" t="s">
        <v>2443</v>
      </c>
      <c r="AD2" s="20" t="s">
        <v>416</v>
      </c>
    </row>
    <row r="3" spans="1:30" ht="14.5" x14ac:dyDescent="0.35">
      <c r="A3" s="203" t="s">
        <v>2424</v>
      </c>
      <c r="S3" s="20" t="s">
        <v>2426</v>
      </c>
      <c r="T3" s="20" cm="1">
        <f t="array" ref="T3">SUMPRODUCT((ISNUMBER(SEARCH($S3,'BREVETS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3</v>
      </c>
      <c r="U3" s="20">
        <f t="shared" si="0"/>
        <v>3.0003000000000002</v>
      </c>
      <c r="V3" s="20" t="str">
        <f>IF('📋 Inventaire Complet'!M3="","",IF(OR(UPPER('📋 Inventaire Complet'!M3)="MAROC",UPPER('📋 Inventaire Complet'!M3)="MOROCCO"),"Maroc",'📋 Inventaire Complet'!M3))</f>
        <v/>
      </c>
      <c r="Z3"/>
      <c r="AC3" s="20" t="s">
        <v>2444</v>
      </c>
      <c r="AD3" s="20" t="s">
        <v>307</v>
      </c>
    </row>
    <row r="4" spans="1:30" ht="24" customHeight="1" thickBot="1" x14ac:dyDescent="0.4">
      <c r="A4" s="259" t="s">
        <v>2488</v>
      </c>
      <c r="B4" s="259"/>
      <c r="C4" s="259"/>
      <c r="D4" s="259"/>
      <c r="E4" s="259"/>
      <c r="F4" s="259"/>
      <c r="S4" s="20" t="s">
        <v>2427</v>
      </c>
      <c r="T4" s="20" cm="1">
        <f t="array" ref="T4">SUMPRODUCT((ISNUMBER(SEARCH($S4,'BREVETS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4" s="20">
        <f t="shared" si="0"/>
        <v>1.0004</v>
      </c>
      <c r="V4" s="20" t="str">
        <f>IF('📋 Inventaire Complet'!M4="","",IF(OR(UPPER('📋 Inventaire Complet'!M4)="MAROC",UPPER('📋 Inventaire Complet'!M4)="MOROCCO"),"Maroc",'📋 Inventaire Complet'!M4))</f>
        <v>Maroc</v>
      </c>
      <c r="Z4"/>
      <c r="AC4" s="20" t="s">
        <v>2445</v>
      </c>
      <c r="AD4" s="20" t="s">
        <v>360</v>
      </c>
    </row>
    <row r="5" spans="1:30" ht="24" customHeight="1" x14ac:dyDescent="0.35">
      <c r="A5" s="257" t="s">
        <v>1</v>
      </c>
      <c r="B5" s="258"/>
      <c r="C5" s="200"/>
      <c r="E5" s="257" t="s">
        <v>1789</v>
      </c>
      <c r="F5" s="258"/>
      <c r="S5" s="20" t="s">
        <v>528</v>
      </c>
      <c r="T5" s="20" cm="1">
        <f t="array" ref="T5">SUMPRODUCT((ISNUMBER(SEARCH($S5,'BREVETS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7</v>
      </c>
      <c r="U5" s="20">
        <f t="shared" si="0"/>
        <v>7.0004999999999997</v>
      </c>
      <c r="V5" s="20" t="str">
        <f>IF('📋 Inventaire Complet'!M5="","",IF(OR(UPPER('📋 Inventaire Complet'!M5)="MAROC",UPPER('📋 Inventaire Complet'!M5)="MOROCCO"),"Maroc",'📋 Inventaire Complet'!M5))</f>
        <v>Maroc</v>
      </c>
      <c r="Z5"/>
      <c r="AC5" s="20" t="s">
        <v>2446</v>
      </c>
      <c r="AD5" s="20" t="s">
        <v>858</v>
      </c>
    </row>
    <row r="6" spans="1:30" ht="22" customHeight="1" x14ac:dyDescent="0.35">
      <c r="A6" s="224" t="s">
        <v>19</v>
      </c>
      <c r="B6" s="221" t="b">
        <v>0</v>
      </c>
      <c r="C6" s="200"/>
      <c r="E6" s="224" t="s">
        <v>1718</v>
      </c>
      <c r="F6" s="221" t="b">
        <v>0</v>
      </c>
      <c r="AC6" s="20" t="s">
        <v>2447</v>
      </c>
      <c r="AD6" s="20" t="s">
        <v>528</v>
      </c>
    </row>
    <row r="7" spans="1:30" ht="22" customHeight="1" x14ac:dyDescent="0.35">
      <c r="A7" s="225" t="s">
        <v>831</v>
      </c>
      <c r="B7" s="222" t="b">
        <v>0</v>
      </c>
      <c r="C7" s="200"/>
      <c r="E7" s="225" t="s">
        <v>2484</v>
      </c>
      <c r="F7" s="222" t="b">
        <v>0</v>
      </c>
      <c r="AC7" s="20" t="s">
        <v>2448</v>
      </c>
      <c r="AD7" s="20" t="s">
        <v>533</v>
      </c>
    </row>
    <row r="8" spans="1:30" ht="22" customHeight="1" x14ac:dyDescent="0.35">
      <c r="A8" s="224" t="s">
        <v>1274</v>
      </c>
      <c r="B8" s="221" t="b">
        <v>0</v>
      </c>
      <c r="C8" s="200"/>
      <c r="E8" s="224" t="s">
        <v>106</v>
      </c>
      <c r="F8" s="221" t="b">
        <v>0</v>
      </c>
      <c r="AC8" s="20" t="s">
        <v>2449</v>
      </c>
      <c r="AD8" s="20" t="s">
        <v>547</v>
      </c>
    </row>
    <row r="9" spans="1:30" ht="22" customHeight="1" x14ac:dyDescent="0.35">
      <c r="A9" s="225" t="s">
        <v>1451</v>
      </c>
      <c r="B9" s="222" t="b">
        <v>0</v>
      </c>
      <c r="C9" s="200"/>
      <c r="E9" s="225" t="s">
        <v>2485</v>
      </c>
      <c r="F9" s="222" t="b">
        <v>0</v>
      </c>
      <c r="AC9" s="20" t="s">
        <v>2450</v>
      </c>
      <c r="AD9" s="20" t="s">
        <v>569</v>
      </c>
    </row>
    <row r="10" spans="1:30" ht="22" customHeight="1" thickBot="1" x14ac:dyDescent="0.4">
      <c r="A10" s="226" t="s">
        <v>1617</v>
      </c>
      <c r="B10" s="223" t="b">
        <v>0</v>
      </c>
      <c r="C10" s="200"/>
      <c r="E10" s="226" t="s">
        <v>2486</v>
      </c>
      <c r="F10" s="223" t="b">
        <v>0</v>
      </c>
      <c r="AC10" s="20" t="s">
        <v>2451</v>
      </c>
      <c r="AD10" s="20" t="s">
        <v>387</v>
      </c>
    </row>
    <row r="11" spans="1:30" ht="17.5" x14ac:dyDescent="0.35">
      <c r="A11" s="220"/>
      <c r="B11" s="200"/>
      <c r="C11" s="200"/>
      <c r="D11" s="227"/>
      <c r="E11" s="220"/>
      <c r="F11" s="200"/>
      <c r="G11" s="227"/>
      <c r="AC11" s="20" t="s">
        <v>2452</v>
      </c>
      <c r="AD11" s="20" t="s">
        <v>338</v>
      </c>
    </row>
    <row r="12" spans="1:30" ht="17.5" x14ac:dyDescent="0.35">
      <c r="A12" s="220"/>
      <c r="B12" s="200"/>
      <c r="C12" s="200"/>
      <c r="D12" s="227"/>
      <c r="E12" s="220"/>
      <c r="F12" s="200"/>
      <c r="G12" s="227"/>
      <c r="AC12" s="20" t="s">
        <v>2453</v>
      </c>
      <c r="AD12" s="20" t="s">
        <v>656</v>
      </c>
    </row>
    <row r="13" spans="1:30" x14ac:dyDescent="0.25">
      <c r="A13" s="204" t="s">
        <v>2489</v>
      </c>
      <c r="B13" s="204"/>
      <c r="C13" s="204" t="s">
        <v>2437</v>
      </c>
      <c r="D13" s="204"/>
      <c r="E13" s="204" t="s">
        <v>2438</v>
      </c>
      <c r="F13" s="204"/>
      <c r="G13" s="204" t="s">
        <v>2490</v>
      </c>
      <c r="H13" s="261"/>
      <c r="I13" s="261"/>
      <c r="S13" s="20" t="s">
        <v>2428</v>
      </c>
      <c r="T13" s="20" cm="1">
        <f t="array" ref="T13">SUMPRODUCT((ISNUMBER(SEARCH($S13,'BREVETS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4</v>
      </c>
      <c r="U13" s="20">
        <f t="shared" si="0"/>
        <v>4.0012999999999996</v>
      </c>
      <c r="V13" s="20" t="str">
        <f>IF('📋 Inventaire Complet'!M6="","",IF(OR(UPPER('📋 Inventaire Complet'!M6)="MAROC",UPPER('📋 Inventaire Complet'!M6)="MOROCCO"),"Maroc",'📋 Inventaire Complet'!M6))</f>
        <v>Maroc</v>
      </c>
      <c r="AC13" s="20" t="s">
        <v>2454</v>
      </c>
      <c r="AD13" s="20" t="s">
        <v>848</v>
      </c>
    </row>
    <row r="14" spans="1:30" ht="29" x14ac:dyDescent="0.5">
      <c r="A14" s="205" cm="1">
        <f t="array" ref="A14">SUMPRODUCT((LEN($V$3:$V$524)&gt;0)*(((COUNTIF($B$6:$B$10,TRUE)=0)+ISNUMBER(IFERROR(MATCH('📋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301</v>
      </c>
      <c r="B14" s="205"/>
      <c r="C14" s="205" cm="1">
        <f t="array" ref="C14">SUMPRODUCT(($T$1:$T$47&gt;0)*1)</f>
        <v>40</v>
      </c>
      <c r="D14" s="205"/>
      <c r="E14" s="205" t="str">
        <f>INDEX($S$1:$S$47,MATCH(LARGE($U$1:$U$47,1),$U$1:$U$47,0))</f>
        <v>Maroc</v>
      </c>
      <c r="F14" s="205"/>
      <c r="G14" s="206">
        <f>IFERROR(INDEX($T$1:$T$47,MATCH("Maroc",$S$1:$S$47,0))/SUM($T$1:$T$47),0)</f>
        <v>0.47043010752688175</v>
      </c>
      <c r="H14" s="260"/>
      <c r="I14" s="260"/>
      <c r="S14" s="20" t="s">
        <v>360</v>
      </c>
      <c r="T14" s="20" cm="1">
        <f t="array" ref="T14">SUMPRODUCT((ISNUMBER(SEARCH($S14,'BREVETS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17</v>
      </c>
      <c r="U14" s="20">
        <f t="shared" si="0"/>
        <v>17.0014</v>
      </c>
      <c r="V14" s="20" t="str">
        <f>IF('📋 Inventaire Complet'!M7="","",IF(OR(UPPER('📋 Inventaire Complet'!M7)="MAROC",UPPER('📋 Inventaire Complet'!M7)="MOROCCO"),"Maroc",'📋 Inventaire Complet'!M7))</f>
        <v>Maroc</v>
      </c>
      <c r="AC14" s="20" t="s">
        <v>2455</v>
      </c>
      <c r="AD14" s="20" t="s">
        <v>320</v>
      </c>
    </row>
    <row r="15" spans="1:30" x14ac:dyDescent="0.25">
      <c r="S15" s="20" t="s">
        <v>2429</v>
      </c>
      <c r="T15" s="20" cm="1">
        <f t="array" ref="T15">SUMPRODUCT((ISNUMBER(SEARCH($S15,'BREVETS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15" s="20">
        <f t="shared" si="0"/>
        <v>2.0015000000000001</v>
      </c>
      <c r="V15" s="20" t="str">
        <f>IF('📋 Inventaire Complet'!M8="","",IF(OR(UPPER('📋 Inventaire Complet'!M8)="MAROC",UPPER('📋 Inventaire Complet'!M8)="MOROCCO"),"Maroc",'📋 Inventaire Complet'!M8))</f>
        <v>Maroc</v>
      </c>
      <c r="AC15" s="20" t="s">
        <v>2456</v>
      </c>
      <c r="AD15" s="20" t="s">
        <v>758</v>
      </c>
    </row>
    <row r="16" spans="1:30" x14ac:dyDescent="0.25">
      <c r="S16" s="20" t="s">
        <v>765</v>
      </c>
      <c r="T16" s="20" cm="1">
        <f t="array" ref="T16">SUMPRODUCT((ISNUMBER(SEARCH($S16,'BREVETS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3</v>
      </c>
      <c r="U16" s="20">
        <f t="shared" si="0"/>
        <v>3.0015999999999998</v>
      </c>
      <c r="V16" s="20" t="str">
        <f>IF('📋 Inventaire Complet'!M9="","",IF(OR(UPPER('📋 Inventaire Complet'!M9)="MAROC",UPPER('📋 Inventaire Complet'!M9)="MOROCCO"),"Maroc",'📋 Inventaire Complet'!M9))</f>
        <v>Maroc</v>
      </c>
      <c r="AC16" s="20" t="s">
        <v>2457</v>
      </c>
      <c r="AD16" s="20" t="s">
        <v>2430</v>
      </c>
    </row>
    <row r="17" spans="1:30" ht="17.5" x14ac:dyDescent="0.35">
      <c r="A17" s="256" t="s">
        <v>2439</v>
      </c>
      <c r="B17" s="256"/>
      <c r="C17" s="256"/>
      <c r="D17" s="256"/>
      <c r="S17" s="20" t="s">
        <v>2430</v>
      </c>
      <c r="T17" s="20" cm="1">
        <f t="array" ref="T17">SUMPRODUCT((ISNUMBER(SEARCH($S17,'BREVETS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9</v>
      </c>
      <c r="U17" s="20">
        <f t="shared" si="0"/>
        <v>9.0016999999999996</v>
      </c>
      <c r="V17" s="20" t="str">
        <f>IF('📋 Inventaire Complet'!M10="","",IF(OR(UPPER('📋 Inventaire Complet'!M10)="MAROC",UPPER('📋 Inventaire Complet'!M10)="MOROCCO"),"Maroc",'📋 Inventaire Complet'!M10))</f>
        <v>Maroc</v>
      </c>
      <c r="AC17" s="20" t="s">
        <v>2458</v>
      </c>
      <c r="AD17" s="20" t="s">
        <v>952</v>
      </c>
    </row>
    <row r="18" spans="1:30" x14ac:dyDescent="0.25">
      <c r="S18" s="20" t="s">
        <v>2431</v>
      </c>
      <c r="T18" s="20" cm="1">
        <f t="array" ref="T18">SUMPRODUCT((ISNUMBER(SEARCH($S18,'BREVETS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18" s="20">
        <f t="shared" si="0"/>
        <v>1.0018</v>
      </c>
      <c r="V18" s="20" t="str">
        <f>IF('📋 Inventaire Complet'!M11="","",IF(OR(UPPER('📋 Inventaire Complet'!M11)="MAROC",UPPER('📋 Inventaire Complet'!M11)="MOROCCO"),"Maroc",'📋 Inventaire Complet'!M11))</f>
        <v/>
      </c>
      <c r="AC18" s="20" t="s">
        <v>2459</v>
      </c>
      <c r="AD18" s="20" t="s">
        <v>2425</v>
      </c>
    </row>
    <row r="19" spans="1:30" ht="17.5" x14ac:dyDescent="0.35">
      <c r="A19" s="207" t="s">
        <v>1817</v>
      </c>
      <c r="B19" s="207" t="s">
        <v>2440</v>
      </c>
      <c r="C19" s="207" t="s">
        <v>2441</v>
      </c>
      <c r="D19" s="207" t="s">
        <v>1784</v>
      </c>
      <c r="S19" s="20" t="s">
        <v>416</v>
      </c>
      <c r="T19" s="20" cm="1">
        <f t="array" ref="T19">SUMPRODUCT((ISNUMBER(SEARCH($S19,'BREVETS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16</v>
      </c>
      <c r="U19" s="20">
        <f t="shared" si="0"/>
        <v>16.001899999999999</v>
      </c>
      <c r="V19" s="20" t="str">
        <f>IF('📋 Inventaire Complet'!M12="","",IF(OR(UPPER('📋 Inventaire Complet'!M12)="MAROC",UPPER('📋 Inventaire Complet'!M12)="MOROCCO"),"Maroc",'📋 Inventaire Complet'!M12))</f>
        <v/>
      </c>
      <c r="AC19" s="20" t="s">
        <v>2460</v>
      </c>
      <c r="AD19" s="20" t="s">
        <v>2428</v>
      </c>
    </row>
    <row r="20" spans="1:30" ht="18" x14ac:dyDescent="0.35">
      <c r="A20" s="208">
        <v>1</v>
      </c>
      <c r="B20" s="209" t="str">
        <f t="shared" ref="B20:B59" si="1">IFERROR(INDEX($S$1:$S$47,MATCH(LARGE($U$1:$U$47,$A20),$U$1:$U$47,0)),"")</f>
        <v>Maroc</v>
      </c>
      <c r="C20" s="210">
        <f t="shared" ref="C20:C59" si="2">IFERROR(INDEX($T$1:$T$47,MATCH(LARGE($U$1:$U$47,$A20),$U$1:$U$47,0)),0)</f>
        <v>175</v>
      </c>
      <c r="D20" s="211">
        <f>IFERROR(C20/$A$14,0)</f>
        <v>0.58139534883720934</v>
      </c>
      <c r="S20" s="20" t="s">
        <v>320</v>
      </c>
      <c r="T20" s="20" cm="1">
        <f t="array" ref="T20">SUMPRODUCT((ISNUMBER(SEARCH($S20,'BREVETS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8</v>
      </c>
      <c r="U20" s="20">
        <f t="shared" si="0"/>
        <v>8.0020000000000007</v>
      </c>
      <c r="V20" s="20" t="str">
        <f>IF('📋 Inventaire Complet'!M13="","",IF(OR(UPPER('📋 Inventaire Complet'!M13)="MAROC",UPPER('📋 Inventaire Complet'!M13)="MOROCCO"),"Maroc",'📋 Inventaire Complet'!M13))</f>
        <v>Maroc</v>
      </c>
      <c r="AC20" s="20" t="s">
        <v>2461</v>
      </c>
      <c r="AD20" s="20" t="s">
        <v>351</v>
      </c>
    </row>
    <row r="21" spans="1:30" ht="18" x14ac:dyDescent="0.35">
      <c r="A21" s="212">
        <v>2</v>
      </c>
      <c r="B21" s="213" t="str">
        <f t="shared" si="1"/>
        <v>Russia</v>
      </c>
      <c r="C21" s="214">
        <f t="shared" si="2"/>
        <v>25</v>
      </c>
      <c r="D21" s="215">
        <f t="shared" ref="D21:D59" si="3">IFERROR(C21/$A$14,0)</f>
        <v>8.3056478405315617E-2</v>
      </c>
      <c r="S21" s="20" t="s">
        <v>758</v>
      </c>
      <c r="T21" s="20" cm="1">
        <f t="array" ref="T21">SUMPRODUCT((ISNUMBER(SEARCH($S21,'BREVETS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4</v>
      </c>
      <c r="U21" s="20">
        <f t="shared" si="0"/>
        <v>4.0021000000000004</v>
      </c>
      <c r="V21" s="20" t="str">
        <f>IF('📋 Inventaire Complet'!M14="","",IF(OR(UPPER('📋 Inventaire Complet'!M14)="MAROC",UPPER('📋 Inventaire Complet'!M14)="MOROCCO"),"Maroc",'📋 Inventaire Complet'!M14))</f>
        <v/>
      </c>
      <c r="AC21" s="20" t="s">
        <v>2462</v>
      </c>
      <c r="AD21" s="20" t="s">
        <v>2436</v>
      </c>
    </row>
    <row r="22" spans="1:30" ht="18" x14ac:dyDescent="0.35">
      <c r="A22" s="212">
        <v>3</v>
      </c>
      <c r="B22" s="213" t="str">
        <f t="shared" si="1"/>
        <v>China</v>
      </c>
      <c r="C22" s="214">
        <f t="shared" si="2"/>
        <v>17</v>
      </c>
      <c r="D22" s="215">
        <f t="shared" si="3"/>
        <v>5.647840531561462E-2</v>
      </c>
      <c r="S22" s="20" t="s">
        <v>924</v>
      </c>
      <c r="T22" s="20" cm="1">
        <f t="array" ref="T22">SUMPRODUCT((ISNUMBER(SEARCH($S22,'BREVETS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22" s="20">
        <f t="shared" si="0"/>
        <v>1.0022</v>
      </c>
      <c r="V22" s="20" t="str">
        <f>IF('📋 Inventaire Complet'!M15="","",IF(OR(UPPER('📋 Inventaire Complet'!M15)="MAROC",UPPER('📋 Inventaire Complet'!M15)="MOROCCO"),"Maroc",'📋 Inventaire Complet'!M15))</f>
        <v>Maroc</v>
      </c>
      <c r="AC22" s="20" t="s">
        <v>2463</v>
      </c>
      <c r="AD22" s="20" t="s">
        <v>522</v>
      </c>
    </row>
    <row r="23" spans="1:30" ht="18" x14ac:dyDescent="0.35">
      <c r="A23" s="212">
        <v>4</v>
      </c>
      <c r="B23" s="213" t="str">
        <f t="shared" si="1"/>
        <v>United States</v>
      </c>
      <c r="C23" s="214">
        <f t="shared" si="2"/>
        <v>16</v>
      </c>
      <c r="D23" s="215">
        <f t="shared" si="3"/>
        <v>5.3156146179401995E-2</v>
      </c>
      <c r="S23" s="20" t="s">
        <v>2432</v>
      </c>
      <c r="T23" s="20" cm="1">
        <f t="array" ref="T23">SUMPRODUCT((ISNUMBER(SEARCH($S23,'BREVETS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23" s="20">
        <f t="shared" si="0"/>
        <v>1.0023</v>
      </c>
      <c r="V23" s="20" t="str">
        <f>IF('📋 Inventaire Complet'!M16="","",IF(OR(UPPER('📋 Inventaire Complet'!M16)="MAROC",UPPER('📋 Inventaire Complet'!M16)="MOROCCO"),"Maroc",'📋 Inventaire Complet'!M16))</f>
        <v/>
      </c>
      <c r="AC23" s="20" t="s">
        <v>2464</v>
      </c>
      <c r="AD23" s="20" t="s">
        <v>1661</v>
      </c>
    </row>
    <row r="24" spans="1:30" ht="18" x14ac:dyDescent="0.35">
      <c r="A24" s="212">
        <v>5</v>
      </c>
      <c r="B24" s="213" t="str">
        <f t="shared" si="1"/>
        <v>France</v>
      </c>
      <c r="C24" s="214">
        <f t="shared" si="2"/>
        <v>16</v>
      </c>
      <c r="D24" s="215">
        <f t="shared" si="3"/>
        <v>5.3156146179401995E-2</v>
      </c>
      <c r="S24" s="20" t="s">
        <v>848</v>
      </c>
      <c r="T24" s="20" cm="1">
        <f t="array" ref="T24">SUMPRODUCT((ISNUMBER(SEARCH($S24,'BREVETS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8</v>
      </c>
      <c r="U24" s="20">
        <f t="shared" si="0"/>
        <v>8.0023999999999997</v>
      </c>
      <c r="V24" s="20" t="str">
        <f>IF('📋 Inventaire Complet'!M17="","",IF(OR(UPPER('📋 Inventaire Complet'!M17)="MAROC",UPPER('📋 Inventaire Complet'!M17)="MOROCCO"),"Maroc",'📋 Inventaire Complet'!M17))</f>
        <v>Maroc</v>
      </c>
      <c r="AC24" s="20" t="s">
        <v>2465</v>
      </c>
      <c r="AD24" s="20" t="s">
        <v>1202</v>
      </c>
    </row>
    <row r="25" spans="1:30" ht="18" x14ac:dyDescent="0.35">
      <c r="A25" s="212">
        <v>6</v>
      </c>
      <c r="B25" s="213" t="str">
        <f t="shared" si="1"/>
        <v>WIPO</v>
      </c>
      <c r="C25" s="214">
        <f t="shared" si="2"/>
        <v>12</v>
      </c>
      <c r="D25" s="215">
        <f t="shared" si="3"/>
        <v>3.9867109634551492E-2</v>
      </c>
      <c r="S25" s="20" t="s">
        <v>522</v>
      </c>
      <c r="T25" s="20" cm="1">
        <f t="array" ref="T25">SUMPRODUCT((ISNUMBER(SEARCH($S25,'BREVETS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25" s="20">
        <f t="shared" si="0"/>
        <v>1.0024999999999999</v>
      </c>
      <c r="V25" s="20" t="str">
        <f>IF('📋 Inventaire Complet'!M18="","",IF(OR(UPPER('📋 Inventaire Complet'!M18)="MAROC",UPPER('📋 Inventaire Complet'!M18)="MOROCCO"),"Maroc",'📋 Inventaire Complet'!M18))</f>
        <v>Maroc</v>
      </c>
      <c r="AC25" s="20" t="s">
        <v>2466</v>
      </c>
      <c r="AD25" s="20" t="s">
        <v>2426</v>
      </c>
    </row>
    <row r="26" spans="1:30" ht="18" x14ac:dyDescent="0.35">
      <c r="A26" s="212">
        <v>7</v>
      </c>
      <c r="B26" s="213" t="str">
        <f t="shared" si="1"/>
        <v>EPO</v>
      </c>
      <c r="C26" s="214">
        <f t="shared" si="2"/>
        <v>9</v>
      </c>
      <c r="D26" s="215">
        <f t="shared" si="3"/>
        <v>2.9900332225913623E-2</v>
      </c>
      <c r="S26" s="20" t="s">
        <v>2433</v>
      </c>
      <c r="T26" s="20" cm="1">
        <f t="array" ref="T26">SUMPRODUCT((ISNUMBER(SEARCH($S26,'BREVETS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26" s="20">
        <f t="shared" si="0"/>
        <v>1.0025999999999999</v>
      </c>
      <c r="V26" s="20" t="str">
        <f>IF('📋 Inventaire Complet'!M19="","",IF(OR(UPPER('📋 Inventaire Complet'!M19)="MAROC",UPPER('📋 Inventaire Complet'!M19)="MOROCCO"),"Maroc",'📋 Inventaire Complet'!M19))</f>
        <v/>
      </c>
      <c r="AC26" s="20" t="s">
        <v>2467</v>
      </c>
      <c r="AD26" s="20" t="s">
        <v>2427</v>
      </c>
    </row>
    <row r="27" spans="1:30" ht="18" x14ac:dyDescent="0.35">
      <c r="A27" s="212">
        <v>8</v>
      </c>
      <c r="B27" s="213" t="str">
        <f t="shared" si="1"/>
        <v>OAPI</v>
      </c>
      <c r="C27" s="214">
        <f t="shared" si="2"/>
        <v>8</v>
      </c>
      <c r="D27" s="215">
        <f t="shared" si="3"/>
        <v>2.6578073089700997E-2</v>
      </c>
      <c r="S27" s="20" t="s">
        <v>1661</v>
      </c>
      <c r="T27" s="20" cm="1">
        <f t="array" ref="T27">SUMPRODUCT((ISNUMBER(SEARCH($S27,'BREVETS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4</v>
      </c>
      <c r="U27" s="20">
        <f t="shared" si="0"/>
        <v>4.0026999999999999</v>
      </c>
      <c r="V27" s="20" t="str">
        <f>IF('📋 Inventaire Complet'!M20="","",IF(OR(UPPER('📋 Inventaire Complet'!M20)="MAROC",UPPER('📋 Inventaire Complet'!M20)="MOROCCO"),"Maroc",'📋 Inventaire Complet'!M20))</f>
        <v>Maroc</v>
      </c>
      <c r="AC27" s="20" t="s">
        <v>2468</v>
      </c>
      <c r="AD27" s="20" t="s">
        <v>1267</v>
      </c>
    </row>
    <row r="28" spans="1:30" ht="18" x14ac:dyDescent="0.35">
      <c r="A28" s="212">
        <v>9</v>
      </c>
      <c r="B28" s="213" t="str">
        <f t="shared" si="1"/>
        <v>India</v>
      </c>
      <c r="C28" s="214">
        <f t="shared" si="2"/>
        <v>8</v>
      </c>
      <c r="D28" s="215">
        <f t="shared" si="3"/>
        <v>2.6578073089700997E-2</v>
      </c>
      <c r="S28" s="20" t="s">
        <v>1202</v>
      </c>
      <c r="T28" s="20" cm="1">
        <f t="array" ref="T28">SUMPRODUCT((ISNUMBER(SEARCH($S28,'BREVETS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28" s="20">
        <f t="shared" si="0"/>
        <v>2.0028000000000001</v>
      </c>
      <c r="V28" s="20" t="str">
        <f>IF('📋 Inventaire Complet'!M21="","",IF(OR(UPPER('📋 Inventaire Complet'!M21)="MAROC",UPPER('📋 Inventaire Complet'!M21)="MOROCCO"),"Maroc",'📋 Inventaire Complet'!M21))</f>
        <v/>
      </c>
      <c r="AC28" s="20" t="s">
        <v>2469</v>
      </c>
      <c r="AD28" s="20" t="s">
        <v>1248</v>
      </c>
    </row>
    <row r="29" spans="1:30" ht="18" x14ac:dyDescent="0.35">
      <c r="A29" s="212">
        <v>10</v>
      </c>
      <c r="B29" s="213" t="str">
        <f t="shared" si="1"/>
        <v>Germany</v>
      </c>
      <c r="C29" s="214">
        <f t="shared" si="2"/>
        <v>8</v>
      </c>
      <c r="D29" s="215">
        <f t="shared" si="3"/>
        <v>2.6578073089700997E-2</v>
      </c>
      <c r="S29" s="20" t="s">
        <v>656</v>
      </c>
      <c r="T29" s="20" cm="1">
        <f t="array" ref="T29">SUMPRODUCT((ISNUMBER(SEARCH($S29,'BREVETS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5</v>
      </c>
      <c r="U29" s="20">
        <f t="shared" si="0"/>
        <v>5.0029000000000003</v>
      </c>
      <c r="V29" s="20" t="str">
        <f>IF('📋 Inventaire Complet'!M22="","",IF(OR(UPPER('📋 Inventaire Complet'!M22)="MAROC",UPPER('📋 Inventaire Complet'!M22)="MOROCCO"),"Maroc",'📋 Inventaire Complet'!M22))</f>
        <v/>
      </c>
      <c r="AC29" s="20" t="s">
        <v>2470</v>
      </c>
      <c r="AD29" s="20" t="s">
        <v>2435</v>
      </c>
    </row>
    <row r="30" spans="1:30" ht="18" x14ac:dyDescent="0.35">
      <c r="A30" s="212">
        <v>11</v>
      </c>
      <c r="B30" s="213" t="str">
        <f t="shared" si="1"/>
        <v>Brazil</v>
      </c>
      <c r="C30" s="214">
        <f t="shared" si="2"/>
        <v>7</v>
      </c>
      <c r="D30" s="215">
        <f t="shared" si="3"/>
        <v>2.3255813953488372E-2</v>
      </c>
      <c r="S30" s="20" t="s">
        <v>2434</v>
      </c>
      <c r="T30" s="20" cm="1">
        <f t="array" ref="T30">SUMPRODUCT((ISNUMBER(SEARCH($S30,'BREVETS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4</v>
      </c>
      <c r="U30" s="20">
        <f t="shared" si="0"/>
        <v>4.0030000000000001</v>
      </c>
      <c r="V30" s="20" t="str">
        <f>IF('📋 Inventaire Complet'!M23="","",IF(OR(UPPER('📋 Inventaire Complet'!M23)="MAROC",UPPER('📋 Inventaire Complet'!M23)="MOROCCO"),"Maroc",'📋 Inventaire Complet'!M23))</f>
        <v/>
      </c>
      <c r="AC30" s="20" t="s">
        <v>2471</v>
      </c>
      <c r="AD30" s="20" t="s">
        <v>2431</v>
      </c>
    </row>
    <row r="31" spans="1:30" ht="18" x14ac:dyDescent="0.35">
      <c r="A31" s="212">
        <v>12</v>
      </c>
      <c r="B31" s="213" t="str">
        <f t="shared" si="1"/>
        <v>Mexico</v>
      </c>
      <c r="C31" s="214">
        <f t="shared" si="2"/>
        <v>5</v>
      </c>
      <c r="D31" s="215">
        <f t="shared" si="3"/>
        <v>1.6611295681063124E-2</v>
      </c>
      <c r="S31" s="20" t="s">
        <v>397</v>
      </c>
      <c r="T31" s="20" cm="1">
        <f t="array" ref="T31">SUMPRODUCT((ISNUMBER(SEARCH($S31,'BREVETS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175</v>
      </c>
      <c r="U31" s="20">
        <f t="shared" si="0"/>
        <v>175.00309999999999</v>
      </c>
      <c r="V31" s="20" t="str">
        <f>IF('📋 Inventaire Complet'!M24="","",IF(OR(UPPER('📋 Inventaire Complet'!M24)="MAROC",UPPER('📋 Inventaire Complet'!M24)="MOROCCO"),"Maroc",'📋 Inventaire Complet'!M24))</f>
        <v/>
      </c>
      <c r="AC31" s="20" t="s">
        <v>2472</v>
      </c>
      <c r="AD31" s="20" t="s">
        <v>2432</v>
      </c>
    </row>
    <row r="32" spans="1:30" ht="18" x14ac:dyDescent="0.35">
      <c r="A32" s="212">
        <v>13</v>
      </c>
      <c r="B32" s="213" t="str">
        <f t="shared" si="1"/>
        <v>Japan</v>
      </c>
      <c r="C32" s="214">
        <f t="shared" si="2"/>
        <v>5</v>
      </c>
      <c r="D32" s="215">
        <f t="shared" si="3"/>
        <v>1.6611295681063124E-2</v>
      </c>
      <c r="S32" s="20" t="s">
        <v>533</v>
      </c>
      <c r="T32" s="20" cm="1">
        <f t="array" ref="T32">SUMPRODUCT((ISNUMBER(SEARCH($S32,'BREVETS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5</v>
      </c>
      <c r="U32" s="20">
        <f t="shared" si="0"/>
        <v>5.0031999999999996</v>
      </c>
      <c r="V32" s="20" t="str">
        <f>IF('📋 Inventaire Complet'!M25="","",IF(OR(UPPER('📋 Inventaire Complet'!M25)="MAROC",UPPER('📋 Inventaire Complet'!M25)="MOROCCO"),"Maroc",'📋 Inventaire Complet'!M25))</f>
        <v/>
      </c>
      <c r="AC32" s="20" t="s">
        <v>2473</v>
      </c>
      <c r="AD32" s="20" t="s">
        <v>924</v>
      </c>
    </row>
    <row r="33" spans="1:30" ht="18" x14ac:dyDescent="0.35">
      <c r="A33" s="212">
        <v>14</v>
      </c>
      <c r="B33" s="213" t="str">
        <f t="shared" si="1"/>
        <v>Spain</v>
      </c>
      <c r="C33" s="214">
        <f t="shared" si="2"/>
        <v>4</v>
      </c>
      <c r="D33" s="215">
        <f t="shared" si="3"/>
        <v>1.3289036544850499E-2</v>
      </c>
      <c r="S33" s="20" t="s">
        <v>1267</v>
      </c>
      <c r="T33" s="20" cm="1">
        <f t="array" ref="T33">SUMPRODUCT((ISNUMBER(SEARCH($S33,'BREVETS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33" s="20">
        <f t="shared" si="0"/>
        <v>2.0032999999999999</v>
      </c>
      <c r="V33" s="20" t="str">
        <f>IF('📋 Inventaire Complet'!M26="","",IF(OR(UPPER('📋 Inventaire Complet'!M26)="MAROC",UPPER('📋 Inventaire Complet'!M26)="MOROCCO"),"Maroc",'📋 Inventaire Complet'!M26))</f>
        <v>Maroc</v>
      </c>
      <c r="AC33" s="20" t="s">
        <v>2474</v>
      </c>
      <c r="AD33" s="20" t="s">
        <v>1039</v>
      </c>
    </row>
    <row r="34" spans="1:30" ht="18" x14ac:dyDescent="0.35">
      <c r="A34" s="212">
        <v>15</v>
      </c>
      <c r="B34" s="213" t="str">
        <f t="shared" si="1"/>
        <v>South Africa</v>
      </c>
      <c r="C34" s="214">
        <f t="shared" si="2"/>
        <v>4</v>
      </c>
      <c r="D34" s="215">
        <f t="shared" si="3"/>
        <v>1.3289036544850499E-2</v>
      </c>
      <c r="S34" s="20" t="s">
        <v>853</v>
      </c>
      <c r="T34" s="20" cm="1">
        <f t="array" ref="T34">SUMPRODUCT((ISNUMBER(SEARCH($S34,'BREVETS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8</v>
      </c>
      <c r="U34" s="20">
        <f t="shared" si="0"/>
        <v>8.0033999999999992</v>
      </c>
      <c r="V34" s="20" t="str">
        <f>IF('📋 Inventaire Complet'!M27="","",IF(OR(UPPER('📋 Inventaire Complet'!M27)="MAROC",UPPER('📋 Inventaire Complet'!M27)="MOROCCO"),"Maroc",'📋 Inventaire Complet'!M27))</f>
        <v>Maroc</v>
      </c>
      <c r="AC34" s="20" t="s">
        <v>2475</v>
      </c>
      <c r="AD34" s="20" t="s">
        <v>356</v>
      </c>
    </row>
    <row r="35" spans="1:30" ht="18" x14ac:dyDescent="0.35">
      <c r="A35" s="212">
        <v>16</v>
      </c>
      <c r="B35" s="213" t="str">
        <f t="shared" si="1"/>
        <v>Jordanien</v>
      </c>
      <c r="C35" s="214">
        <f t="shared" si="2"/>
        <v>4</v>
      </c>
      <c r="D35" s="215">
        <f t="shared" si="3"/>
        <v>1.3289036544850499E-2</v>
      </c>
      <c r="S35" s="20" t="s">
        <v>106</v>
      </c>
      <c r="T35" s="20" cm="1">
        <f t="array" ref="T35">SUMPRODUCT((ISNUMBER(SEARCH($S35,'BREVETS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35" s="20">
        <f t="shared" si="0"/>
        <v>1.0035000000000001</v>
      </c>
      <c r="V35" s="20" t="str">
        <f>IF('📋 Inventaire Complet'!M28="","",IF(OR(UPPER('📋 Inventaire Complet'!M28)="MAROC",UPPER('📋 Inventaire Complet'!M28)="MOROCCO"),"Maroc",'📋 Inventaire Complet'!M28))</f>
        <v>Maroc</v>
      </c>
      <c r="AC35" s="20" t="s">
        <v>2476</v>
      </c>
      <c r="AD35" s="20" t="s">
        <v>2434</v>
      </c>
    </row>
    <row r="36" spans="1:30" ht="18" x14ac:dyDescent="0.35">
      <c r="A36" s="212">
        <v>17</v>
      </c>
      <c r="B36" s="213" t="str">
        <f t="shared" si="1"/>
        <v>Israel</v>
      </c>
      <c r="C36" s="214">
        <f t="shared" si="2"/>
        <v>4</v>
      </c>
      <c r="D36" s="215">
        <f t="shared" si="3"/>
        <v>1.3289036544850499E-2</v>
      </c>
      <c r="S36" s="20" t="s">
        <v>2435</v>
      </c>
      <c r="T36" s="20" cm="1">
        <f t="array" ref="T36">SUMPRODUCT((ISNUMBER(SEARCH($S36,'BREVETS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</v>
      </c>
      <c r="U36" s="20">
        <f t="shared" si="0"/>
        <v>1.0036</v>
      </c>
      <c r="V36" s="20" t="str">
        <f>IF('📋 Inventaire Complet'!M29="","",IF(OR(UPPER('📋 Inventaire Complet'!M29)="MAROC",UPPER('📋 Inventaire Complet'!M29)="MOROCCO"),"Maroc",'📋 Inventaire Complet'!M29))</f>
        <v>Maroc</v>
      </c>
      <c r="AC36" s="20" t="s">
        <v>2477</v>
      </c>
      <c r="AD36" s="20" t="s">
        <v>2429</v>
      </c>
    </row>
    <row r="37" spans="1:30" ht="18" x14ac:dyDescent="0.35">
      <c r="A37" s="212">
        <v>18</v>
      </c>
      <c r="B37" s="213" t="str">
        <f t="shared" si="1"/>
        <v>Great Britain</v>
      </c>
      <c r="C37" s="214">
        <f t="shared" si="2"/>
        <v>4</v>
      </c>
      <c r="D37" s="215">
        <f t="shared" si="3"/>
        <v>1.3289036544850499E-2</v>
      </c>
      <c r="S37" s="20" t="s">
        <v>307</v>
      </c>
      <c r="T37" s="20" cm="1">
        <f t="array" ref="T37">SUMPRODUCT((ISNUMBER(SEARCH($S37,'BREVETS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25</v>
      </c>
      <c r="U37" s="20">
        <f t="shared" si="0"/>
        <v>25.003699999999998</v>
      </c>
      <c r="V37" s="20" t="str">
        <f>IF('📋 Inventaire Complet'!M30="","",IF(OR(UPPER('📋 Inventaire Complet'!M30)="MAROC",UPPER('📋 Inventaire Complet'!M30)="MOROCCO"),"Maroc",'📋 Inventaire Complet'!M30))</f>
        <v>Maroc</v>
      </c>
      <c r="AC37" s="20" t="s">
        <v>2478</v>
      </c>
      <c r="AD37" s="20" t="s">
        <v>853</v>
      </c>
    </row>
    <row r="38" spans="1:30" ht="18" x14ac:dyDescent="0.35">
      <c r="A38" s="212">
        <v>19</v>
      </c>
      <c r="B38" s="213" t="str">
        <f t="shared" si="1"/>
        <v>Canada</v>
      </c>
      <c r="C38" s="214">
        <f t="shared" si="2"/>
        <v>4</v>
      </c>
      <c r="D38" s="215">
        <f t="shared" si="3"/>
        <v>1.3289036544850499E-2</v>
      </c>
      <c r="S38" s="20" t="s">
        <v>1039</v>
      </c>
      <c r="T38" s="20" cm="1">
        <f t="array" ref="T38">SUMPRODUCT((ISNUMBER(SEARCH($S38,'BREVETS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38" s="20">
        <f t="shared" si="0"/>
        <v>2.0038</v>
      </c>
      <c r="V38" s="20" t="str">
        <f>IF('📋 Inventaire Complet'!M31="","",IF(OR(UPPER('📋 Inventaire Complet'!M31)="MAROC",UPPER('📋 Inventaire Complet'!M31)="MOROCCO"),"Maroc",'📋 Inventaire Complet'!M31))</f>
        <v/>
      </c>
      <c r="AC38" s="20" t="s">
        <v>2479</v>
      </c>
      <c r="AD38" s="20" t="s">
        <v>765</v>
      </c>
    </row>
    <row r="39" spans="1:30" ht="18" x14ac:dyDescent="0.35">
      <c r="A39" s="212">
        <v>20</v>
      </c>
      <c r="B39" s="213" t="str">
        <f t="shared" si="1"/>
        <v>Switzerland</v>
      </c>
      <c r="C39" s="214">
        <f t="shared" si="2"/>
        <v>3</v>
      </c>
      <c r="D39" s="215">
        <f t="shared" si="3"/>
        <v>9.9667774086378731E-3</v>
      </c>
      <c r="S39" s="20" t="s">
        <v>2436</v>
      </c>
      <c r="T39" s="20" cm="1">
        <f t="array" ref="T39">SUMPRODUCT((ISNUMBER(SEARCH($S39,'BREVETS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39" s="20">
        <f t="shared" si="0"/>
        <v>2.0038999999999998</v>
      </c>
      <c r="V39" s="20" t="str">
        <f>IF('📋 Inventaire Complet'!M32="","",IF(OR(UPPER('📋 Inventaire Complet'!M32)="MAROC",UPPER('📋 Inventaire Complet'!M32)="MOROCCO"),"Maroc",'📋 Inventaire Complet'!M32))</f>
        <v/>
      </c>
      <c r="AC39" s="20" t="s">
        <v>2480</v>
      </c>
      <c r="AD39" s="20" t="s">
        <v>106</v>
      </c>
    </row>
    <row r="40" spans="1:30" ht="14.4" customHeight="1" x14ac:dyDescent="0.35">
      <c r="A40" s="212">
        <v>21</v>
      </c>
      <c r="B40" s="213" t="str">
        <f t="shared" si="1"/>
        <v>EAPO</v>
      </c>
      <c r="C40" s="214">
        <f t="shared" si="2"/>
        <v>3</v>
      </c>
      <c r="D40" s="215">
        <f t="shared" si="3"/>
        <v>9.9667774086378731E-3</v>
      </c>
      <c r="S40" s="20" t="s">
        <v>351</v>
      </c>
      <c r="T40" s="20" cm="1">
        <f t="array" ref="T40">SUMPRODUCT((ISNUMBER(SEARCH($S40,'BREVETS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4</v>
      </c>
      <c r="U40" s="20">
        <f t="shared" si="0"/>
        <v>4.0039999999999996</v>
      </c>
      <c r="V40" s="20" t="str">
        <f>IF('📋 Inventaire Complet'!M33="","",IF(OR(UPPER('📋 Inventaire Complet'!M33)="MAROC",UPPER('📋 Inventaire Complet'!M33)="MOROCCO"),"Maroc",'📋 Inventaire Complet'!M33))</f>
        <v>Maroc</v>
      </c>
    </row>
    <row r="41" spans="1:30" ht="18" x14ac:dyDescent="0.35">
      <c r="A41" s="212">
        <v>22</v>
      </c>
      <c r="B41" s="213" t="str">
        <f t="shared" si="1"/>
        <v>Austria</v>
      </c>
      <c r="C41" s="214">
        <f t="shared" si="2"/>
        <v>3</v>
      </c>
      <c r="D41" s="215">
        <f t="shared" si="3"/>
        <v>9.9667774086378731E-3</v>
      </c>
      <c r="S41" s="20" t="s">
        <v>387</v>
      </c>
      <c r="T41" s="20" cm="1">
        <f t="array" ref="T41">SUMPRODUCT((ISNUMBER(SEARCH($S41,'BREVETS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4</v>
      </c>
      <c r="U41" s="20">
        <f t="shared" si="0"/>
        <v>4.0041000000000002</v>
      </c>
      <c r="V41" s="20" t="str">
        <f>IF('📋 Inventaire Complet'!M34="","",IF(OR(UPPER('📋 Inventaire Complet'!M34)="MAROC",UPPER('📋 Inventaire Complet'!M34)="MOROCCO"),"Maroc",'📋 Inventaire Complet'!M34))</f>
        <v>Maroc</v>
      </c>
    </row>
    <row r="42" spans="1:30" ht="18" x14ac:dyDescent="0.35">
      <c r="A42" s="212">
        <v>23</v>
      </c>
      <c r="B42" s="213" t="str">
        <f t="shared" si="1"/>
        <v>Vietnam</v>
      </c>
      <c r="C42" s="214">
        <f t="shared" si="2"/>
        <v>2</v>
      </c>
      <c r="D42" s="215">
        <f t="shared" si="3"/>
        <v>6.6445182724252493E-3</v>
      </c>
      <c r="S42" s="20" t="s">
        <v>1248</v>
      </c>
      <c r="T42" s="20" cm="1">
        <f t="array" ref="T42">SUMPRODUCT((ISNUMBER(SEARCH($S42,'BREVETS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3</v>
      </c>
      <c r="U42" s="20">
        <f t="shared" si="0"/>
        <v>3.0042</v>
      </c>
      <c r="V42" s="20" t="str">
        <f>IF('📋 Inventaire Complet'!M35="","",IF(OR(UPPER('📋 Inventaire Complet'!M35)="MAROC",UPPER('📋 Inventaire Complet'!M35)="MOROCCO"),"Maroc",'📋 Inventaire Complet'!M35))</f>
        <v>Maroc</v>
      </c>
    </row>
    <row r="43" spans="1:30" ht="18" x14ac:dyDescent="0.35">
      <c r="A43" s="212">
        <v>24</v>
      </c>
      <c r="B43" s="213" t="str">
        <f t="shared" si="1"/>
        <v>Turkey</v>
      </c>
      <c r="C43" s="214">
        <f t="shared" si="2"/>
        <v>2</v>
      </c>
      <c r="D43" s="215">
        <f t="shared" si="3"/>
        <v>6.6445182724252493E-3</v>
      </c>
      <c r="S43" s="20" t="s">
        <v>356</v>
      </c>
      <c r="T43" s="20" cm="1">
        <f t="array" ref="T43">SUMPRODUCT((ISNUMBER(SEARCH($S43,'BREVETS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43" s="20">
        <f t="shared" si="0"/>
        <v>2.0043000000000002</v>
      </c>
      <c r="V43" s="20" t="str">
        <f>IF('📋 Inventaire Complet'!M36="","",IF(OR(UPPER('📋 Inventaire Complet'!M36)="MAROC",UPPER('📋 Inventaire Complet'!M36)="MOROCCO"),"Maroc",'📋 Inventaire Complet'!M36))</f>
        <v>Maroc</v>
      </c>
    </row>
    <row r="44" spans="1:30" ht="17.399999999999999" customHeight="1" x14ac:dyDescent="0.35">
      <c r="A44" s="212">
        <v>25</v>
      </c>
      <c r="B44" s="213" t="str">
        <f t="shared" si="1"/>
        <v>Tunisia</v>
      </c>
      <c r="C44" s="214">
        <f t="shared" si="2"/>
        <v>2</v>
      </c>
      <c r="D44" s="215">
        <f t="shared" si="3"/>
        <v>6.6445182724252493E-3</v>
      </c>
      <c r="E44" s="255" t="s">
        <v>2491</v>
      </c>
      <c r="F44" s="255"/>
      <c r="G44" s="255"/>
      <c r="H44" s="255"/>
      <c r="I44" s="255"/>
      <c r="S44" s="20" t="s">
        <v>547</v>
      </c>
      <c r="T44" s="20" cm="1">
        <f t="array" ref="T44">SUMPRODUCT((ISNUMBER(SEARCH($S44,'BREVETS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44" s="20">
        <f t="shared" si="0"/>
        <v>2.0044</v>
      </c>
      <c r="V44" s="20" t="str">
        <f>IF('📋 Inventaire Complet'!M37="","",IF(OR(UPPER('📋 Inventaire Complet'!M37)="MAROC",UPPER('📋 Inventaire Complet'!M37)="MOROCCO"),"Maroc",'📋 Inventaire Complet'!M37))</f>
        <v>Maroc</v>
      </c>
    </row>
    <row r="45" spans="1:30" ht="14.4" customHeight="1" x14ac:dyDescent="0.35">
      <c r="A45" s="212">
        <v>26</v>
      </c>
      <c r="B45" s="213" t="str">
        <f t="shared" si="1"/>
        <v>Singapore</v>
      </c>
      <c r="C45" s="214">
        <f t="shared" si="2"/>
        <v>2</v>
      </c>
      <c r="D45" s="215">
        <f t="shared" si="3"/>
        <v>6.6445182724252493E-3</v>
      </c>
      <c r="E45" s="255"/>
      <c r="F45" s="255"/>
      <c r="G45" s="255"/>
      <c r="H45" s="255"/>
      <c r="I45" s="255"/>
      <c r="S45" s="20" t="s">
        <v>858</v>
      </c>
      <c r="T45" s="20" cm="1">
        <f t="array" ref="T45">SUMPRODUCT((ISNUMBER(SEARCH($S45,'BREVETS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16</v>
      </c>
      <c r="U45" s="20">
        <f t="shared" si="0"/>
        <v>16.0045</v>
      </c>
      <c r="V45" s="20" t="str">
        <f>IF('📋 Inventaire Complet'!M38="","",IF(OR(UPPER('📋 Inventaire Complet'!M38)="MAROC",UPPER('📋 Inventaire Complet'!M38)="MOROCCO"),"Maroc",'📋 Inventaire Complet'!M38))</f>
        <v/>
      </c>
    </row>
    <row r="46" spans="1:30" ht="18" x14ac:dyDescent="0.35">
      <c r="A46" s="212">
        <v>27</v>
      </c>
      <c r="B46" s="213" t="str">
        <f t="shared" si="1"/>
        <v>Saudi Arabia</v>
      </c>
      <c r="C46" s="214">
        <f t="shared" si="2"/>
        <v>2</v>
      </c>
      <c r="D46" s="215">
        <f t="shared" si="3"/>
        <v>6.6445182724252493E-3</v>
      </c>
      <c r="E46" s="255"/>
      <c r="F46" s="255"/>
      <c r="G46" s="255"/>
      <c r="H46" s="255"/>
      <c r="I46" s="255"/>
      <c r="S46" s="20" t="s">
        <v>569</v>
      </c>
      <c r="T46" s="20" cm="1">
        <f t="array" ref="T46">SUMPRODUCT((ISNUMBER(SEARCH($S46,'BREVETS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2</v>
      </c>
      <c r="U46" s="20">
        <f t="shared" si="0"/>
        <v>2.0045999999999999</v>
      </c>
      <c r="V46" s="20" t="str">
        <f>IF('📋 Inventaire Complet'!M39="","",IF(OR(UPPER('📋 Inventaire Complet'!M39)="MAROC",UPPER('📋 Inventaire Complet'!M39)="MOROCCO"),"Maroc",'📋 Inventaire Complet'!M39))</f>
        <v>Maroc</v>
      </c>
    </row>
    <row r="47" spans="1:30" ht="16.75" customHeight="1" x14ac:dyDescent="0.35">
      <c r="A47" s="212">
        <v>28</v>
      </c>
      <c r="B47" s="213" t="str">
        <f t="shared" si="1"/>
        <v>Netherlands</v>
      </c>
      <c r="C47" s="214">
        <f t="shared" si="2"/>
        <v>2</v>
      </c>
      <c r="D47" s="215">
        <f t="shared" si="3"/>
        <v>6.6445182724252493E-3</v>
      </c>
      <c r="E47" s="255"/>
      <c r="F47" s="255"/>
      <c r="G47" s="255"/>
      <c r="H47" s="255"/>
      <c r="I47" s="255"/>
      <c r="S47" s="20" t="s">
        <v>952</v>
      </c>
      <c r="T47" s="20" cm="1">
        <f t="array" ref="T47">SUMPRODUCT((ISNUMBER(SEARCH($S47,'BREVETS PAR PAYS DASHBOARD'!$V$3:$V$524)))*(((COUNTIF($B$6:$B$10,TRUE)=0)+ISNUMBER(IFERROR(MATCH('📋 Inventaire Complet'!$B$3:$B$524,IF($B$6:$B$10,$A$6:$A$10),0),"")))&gt;0)*(((COUNTIF($F$6:$F$10,TRUE)=0)+(($F$6*ISNUMBER(SEARCH($E$6,'📋 Inventaire Complet'!$L$3:$L$524)))+($F$7*ISNUMBER(SEARCH($E$7,'📋 Inventaire Complet'!$L$3:$L$524)))+($F$8*ISNUMBER(SEARCH($E$8,'📋 Inventaire Complet'!$L$3:$L$524)))+($F$9*ISNUMBER(SEARCH($E$9,'📋 Inventaire Complet'!$L$3:$L$524)))+($F$10*ISNUMBER(SEARCH($E$10,'📋 Inventaire Complet'!$L$3:$L$524)))))&gt;0))</f>
        <v>12</v>
      </c>
      <c r="U47" s="20">
        <f t="shared" si="0"/>
        <v>12.0047</v>
      </c>
      <c r="V47" s="20" t="str">
        <f>IF('📋 Inventaire Complet'!M40="","",IF(OR(UPPER('📋 Inventaire Complet'!M40)="MAROC",UPPER('📋 Inventaire Complet'!M40)="MOROCCO"),"Maroc",'📋 Inventaire Complet'!M40))</f>
        <v>Maroc</v>
      </c>
    </row>
    <row r="48" spans="1:30" ht="16.75" customHeight="1" x14ac:dyDescent="0.35">
      <c r="A48" s="212">
        <v>29</v>
      </c>
      <c r="B48" s="213" t="str">
        <f t="shared" si="1"/>
        <v>Italy</v>
      </c>
      <c r="C48" s="214">
        <f t="shared" si="2"/>
        <v>2</v>
      </c>
      <c r="D48" s="215">
        <f t="shared" si="3"/>
        <v>6.6445182724252493E-3</v>
      </c>
      <c r="E48" s="255"/>
      <c r="F48" s="255"/>
      <c r="G48" s="255"/>
      <c r="H48" s="255"/>
      <c r="I48" s="255"/>
      <c r="V48" s="20" t="str">
        <f>IF('📋 Inventaire Complet'!M41="","",IF(OR(UPPER('📋 Inventaire Complet'!M41)="MAROC",UPPER('📋 Inventaire Complet'!M41)="MOROCCO"),"Maroc",'📋 Inventaire Complet'!M41))</f>
        <v/>
      </c>
    </row>
    <row r="49" spans="1:22" ht="16.75" customHeight="1" x14ac:dyDescent="0.35">
      <c r="A49" s="212">
        <v>30</v>
      </c>
      <c r="B49" s="213" t="str">
        <f t="shared" si="1"/>
        <v>China Hong Kong</v>
      </c>
      <c r="C49" s="214">
        <f t="shared" si="2"/>
        <v>2</v>
      </c>
      <c r="D49" s="215">
        <f t="shared" si="3"/>
        <v>6.6445182724252493E-3</v>
      </c>
      <c r="E49" s="255"/>
      <c r="F49" s="255"/>
      <c r="G49" s="255"/>
      <c r="H49" s="255"/>
      <c r="I49" s="255"/>
      <c r="V49" s="20" t="str">
        <f>IF('📋 Inventaire Complet'!M42="","",IF(OR(UPPER('📋 Inventaire Complet'!M42)="MAROC",UPPER('📋 Inventaire Complet'!M42)="MOROCCO"),"Maroc",'📋 Inventaire Complet'!M42))</f>
        <v/>
      </c>
    </row>
    <row r="50" spans="1:22" ht="17.399999999999999" customHeight="1" x14ac:dyDescent="0.35">
      <c r="A50" s="212">
        <v>31</v>
      </c>
      <c r="B50" s="213" t="str">
        <f t="shared" si="1"/>
        <v>Australia</v>
      </c>
      <c r="C50" s="214">
        <f t="shared" si="2"/>
        <v>2</v>
      </c>
      <c r="D50" s="215">
        <f t="shared" si="3"/>
        <v>6.6445182724252493E-3</v>
      </c>
      <c r="E50" s="255"/>
      <c r="F50" s="255"/>
      <c r="G50" s="255"/>
      <c r="H50" s="255"/>
      <c r="I50" s="255"/>
      <c r="V50" s="20" t="str">
        <f>IF('📋 Inventaire Complet'!M43="","",IF(OR(UPPER('📋 Inventaire Complet'!M43)="MAROC",UPPER('📋 Inventaire Complet'!M43)="MOROCCO"),"Maroc",'📋 Inventaire Complet'!M43))</f>
        <v>Maroc</v>
      </c>
    </row>
    <row r="51" spans="1:22" ht="17.399999999999999" customHeight="1" x14ac:dyDescent="0.35">
      <c r="A51" s="212">
        <v>32</v>
      </c>
      <c r="B51" s="213" t="str">
        <f t="shared" si="1"/>
        <v>Argentina</v>
      </c>
      <c r="C51" s="214">
        <f t="shared" si="2"/>
        <v>2</v>
      </c>
      <c r="D51" s="215">
        <f t="shared" si="3"/>
        <v>6.6445182724252493E-3</v>
      </c>
      <c r="E51" s="255"/>
      <c r="F51" s="255"/>
      <c r="G51" s="255"/>
      <c r="H51" s="255"/>
      <c r="I51" s="255"/>
      <c r="V51" s="20" t="str">
        <f>IF('📋 Inventaire Complet'!M44="","",IF(OR(UPPER('📋 Inventaire Complet'!M44)="MAROC",UPPER('📋 Inventaire Complet'!M44)="MOROCCO"),"Maroc",'📋 Inventaire Complet'!M44))</f>
        <v>Maroc</v>
      </c>
    </row>
    <row r="52" spans="1:22" ht="17.399999999999999" customHeight="1" x14ac:dyDescent="0.35">
      <c r="A52" s="212">
        <v>33</v>
      </c>
      <c r="B52" s="213" t="str">
        <f t="shared" si="1"/>
        <v>Poland</v>
      </c>
      <c r="C52" s="214">
        <f t="shared" si="2"/>
        <v>1</v>
      </c>
      <c r="D52" s="215">
        <f t="shared" si="3"/>
        <v>3.3222591362126247E-3</v>
      </c>
      <c r="E52" s="255"/>
      <c r="F52" s="255"/>
      <c r="G52" s="255"/>
      <c r="H52" s="255"/>
      <c r="I52" s="255"/>
      <c r="V52" s="20" t="str">
        <f>IF('📋 Inventaire Complet'!M45="","",IF(OR(UPPER('📋 Inventaire Complet'!M45)="MAROC",UPPER('📋 Inventaire Complet'!M45)="MOROCCO"),"Maroc",'📋 Inventaire Complet'!M45))</f>
        <v>Maroc</v>
      </c>
    </row>
    <row r="53" spans="1:22" ht="17.399999999999999" customHeight="1" x14ac:dyDescent="0.35">
      <c r="A53" s="212">
        <v>34</v>
      </c>
      <c r="B53" s="213" t="str">
        <f t="shared" si="1"/>
        <v>PCT</v>
      </c>
      <c r="C53" s="214">
        <f t="shared" si="2"/>
        <v>1</v>
      </c>
      <c r="D53" s="215">
        <f t="shared" si="3"/>
        <v>3.3222591362126247E-3</v>
      </c>
      <c r="E53" s="255"/>
      <c r="F53" s="255"/>
      <c r="G53" s="255"/>
      <c r="H53" s="255"/>
      <c r="I53" s="255"/>
      <c r="V53" s="20" t="str">
        <f>IF('📋 Inventaire Complet'!M46="","",IF(OR(UPPER('📋 Inventaire Complet'!M46)="MAROC",UPPER('📋 Inventaire Complet'!M46)="MOROCCO"),"Maroc",'📋 Inventaire Complet'!M46))</f>
        <v/>
      </c>
    </row>
    <row r="54" spans="1:22" ht="17.399999999999999" customHeight="1" x14ac:dyDescent="0.35">
      <c r="A54" s="212">
        <v>35</v>
      </c>
      <c r="B54" s="213" t="str">
        <f t="shared" si="1"/>
        <v>International</v>
      </c>
      <c r="C54" s="214">
        <f t="shared" si="2"/>
        <v>1</v>
      </c>
      <c r="D54" s="215">
        <f t="shared" si="3"/>
        <v>3.3222591362126247E-3</v>
      </c>
      <c r="E54" s="255"/>
      <c r="F54" s="255"/>
      <c r="G54" s="255"/>
      <c r="H54" s="255"/>
      <c r="I54" s="255"/>
      <c r="V54" s="20" t="str">
        <f>IF('📋 Inventaire Complet'!M47="","",IF(OR(UPPER('📋 Inventaire Complet'!M47)="MAROC",UPPER('📋 Inventaire Complet'!M47)="MOROCCO"),"Maroc",'📋 Inventaire Complet'!M47))</f>
        <v/>
      </c>
    </row>
    <row r="55" spans="1:22" ht="17.399999999999999" customHeight="1" x14ac:dyDescent="0.35">
      <c r="A55" s="212">
        <v>36</v>
      </c>
      <c r="B55" s="213" t="str">
        <f t="shared" si="1"/>
        <v>Indonesia</v>
      </c>
      <c r="C55" s="214">
        <f t="shared" si="2"/>
        <v>1</v>
      </c>
      <c r="D55" s="215">
        <f t="shared" si="3"/>
        <v>3.3222591362126247E-3</v>
      </c>
      <c r="E55" s="255"/>
      <c r="F55" s="255"/>
      <c r="G55" s="255"/>
      <c r="H55" s="255"/>
      <c r="I55" s="255"/>
      <c r="V55" s="20" t="str">
        <f>IF('📋 Inventaire Complet'!M48="","",IF(OR(UPPER('📋 Inventaire Complet'!M48)="MAROC",UPPER('📋 Inventaire Complet'!M48)="MOROCCO"),"Maroc",'📋 Inventaire Complet'!M48))</f>
        <v>Maroc</v>
      </c>
    </row>
    <row r="56" spans="1:22" ht="18" x14ac:dyDescent="0.35">
      <c r="A56" s="212">
        <v>37</v>
      </c>
      <c r="B56" s="213" t="str">
        <f t="shared" si="1"/>
        <v>Hungary</v>
      </c>
      <c r="C56" s="214">
        <f t="shared" si="2"/>
        <v>1</v>
      </c>
      <c r="D56" s="215">
        <f t="shared" si="3"/>
        <v>3.3222591362126247E-3</v>
      </c>
      <c r="F56" s="228"/>
      <c r="G56" s="228"/>
      <c r="H56" s="228"/>
      <c r="V56" s="20" t="str">
        <f>IF('📋 Inventaire Complet'!M49="","",IF(OR(UPPER('📋 Inventaire Complet'!M49)="MAROC",UPPER('📋 Inventaire Complet'!M49)="MOROCCO"),"Maroc",'📋 Inventaire Complet'!M49))</f>
        <v>Maroc</v>
      </c>
    </row>
    <row r="57" spans="1:22" ht="18" x14ac:dyDescent="0.35">
      <c r="A57" s="212">
        <v>38</v>
      </c>
      <c r="B57" s="213" t="str">
        <f t="shared" si="1"/>
        <v>Greece</v>
      </c>
      <c r="C57" s="214">
        <f t="shared" si="2"/>
        <v>1</v>
      </c>
      <c r="D57" s="215">
        <f t="shared" si="3"/>
        <v>3.3222591362126247E-3</v>
      </c>
      <c r="V57" s="20" t="str">
        <f>IF('📋 Inventaire Complet'!M50="","",IF(OR(UPPER('📋 Inventaire Complet'!M50)="MAROC",UPPER('📋 Inventaire Complet'!M50)="MOROCCO"),"Maroc",'📋 Inventaire Complet'!M50))</f>
        <v>Maroc</v>
      </c>
    </row>
    <row r="58" spans="1:22" ht="18" x14ac:dyDescent="0.35">
      <c r="A58" s="212">
        <v>39</v>
      </c>
      <c r="B58" s="213" t="str">
        <f t="shared" si="1"/>
        <v>Finland</v>
      </c>
      <c r="C58" s="214">
        <f t="shared" si="2"/>
        <v>1</v>
      </c>
      <c r="D58" s="215">
        <f t="shared" si="3"/>
        <v>3.3222591362126247E-3</v>
      </c>
      <c r="V58" s="20" t="str">
        <f>IF('📋 Inventaire Complet'!M51="","",IF(OR(UPPER('📋 Inventaire Complet'!M51)="MAROC",UPPER('📋 Inventaire Complet'!M51)="MOROCCO"),"Maroc",'📋 Inventaire Complet'!M51))</f>
        <v/>
      </c>
    </row>
    <row r="59" spans="1:22" ht="18" x14ac:dyDescent="0.35">
      <c r="A59" s="216">
        <v>40</v>
      </c>
      <c r="B59" s="217" t="str">
        <f t="shared" si="1"/>
        <v>Belgium</v>
      </c>
      <c r="C59" s="218">
        <f t="shared" si="2"/>
        <v>1</v>
      </c>
      <c r="D59" s="219">
        <f t="shared" si="3"/>
        <v>3.3222591362126247E-3</v>
      </c>
      <c r="V59" s="20" t="str">
        <f>IF('📋 Inventaire Complet'!M52="","",IF(OR(UPPER('📋 Inventaire Complet'!M52)="MAROC",UPPER('📋 Inventaire Complet'!M52)="MOROCCO"),"Maroc",'📋 Inventaire Complet'!M52))</f>
        <v>Maroc</v>
      </c>
    </row>
    <row r="60" spans="1:22" x14ac:dyDescent="0.25">
      <c r="V60" s="20" t="str">
        <f>IF('📋 Inventaire Complet'!M53="","",IF(OR(UPPER('📋 Inventaire Complet'!M53)="MAROC",UPPER('📋 Inventaire Complet'!M53)="MOROCCO"),"Maroc",'📋 Inventaire Complet'!M53))</f>
        <v/>
      </c>
    </row>
    <row r="61" spans="1:22" x14ac:dyDescent="0.25">
      <c r="V61" s="20" t="str">
        <f>IF('📋 Inventaire Complet'!M54="","",IF(OR(UPPER('📋 Inventaire Complet'!M54)="MAROC",UPPER('📋 Inventaire Complet'!M54)="MOROCCO"),"Maroc",'📋 Inventaire Complet'!M54))</f>
        <v>Maroc</v>
      </c>
    </row>
    <row r="62" spans="1:22" x14ac:dyDescent="0.25">
      <c r="V62" s="20" t="str">
        <f>IF('📋 Inventaire Complet'!M55="","",IF(OR(UPPER('📋 Inventaire Complet'!M55)="MAROC",UPPER('📋 Inventaire Complet'!M55)="MOROCCO"),"Maroc",'📋 Inventaire Complet'!M55))</f>
        <v>Maroc</v>
      </c>
    </row>
    <row r="63" spans="1:22" x14ac:dyDescent="0.25">
      <c r="V63" s="20" t="str">
        <f>IF('📋 Inventaire Complet'!M56="","",IF(OR(UPPER('📋 Inventaire Complet'!M56)="MAROC",UPPER('📋 Inventaire Complet'!M56)="MOROCCO"),"Maroc",'📋 Inventaire Complet'!M56))</f>
        <v/>
      </c>
    </row>
    <row r="64" spans="1:22" x14ac:dyDescent="0.25">
      <c r="V64" s="20" t="str">
        <f>IF('📋 Inventaire Complet'!M57="","",IF(OR(UPPER('📋 Inventaire Complet'!M57)="MAROC",UPPER('📋 Inventaire Complet'!M57)="MOROCCO"),"Maroc",'📋 Inventaire Complet'!M57))</f>
        <v/>
      </c>
    </row>
    <row r="65" spans="22:22" x14ac:dyDescent="0.25">
      <c r="V65" s="20" t="str">
        <f>IF('📋 Inventaire Complet'!M58="","",IF(OR(UPPER('📋 Inventaire Complet'!M58)="MAROC",UPPER('📋 Inventaire Complet'!M58)="MOROCCO"),"Maroc",'📋 Inventaire Complet'!M58))</f>
        <v/>
      </c>
    </row>
    <row r="66" spans="22:22" x14ac:dyDescent="0.25">
      <c r="V66" s="20" t="str">
        <f>IF('📋 Inventaire Complet'!M59="","",IF(OR(UPPER('📋 Inventaire Complet'!M59)="MAROC",UPPER('📋 Inventaire Complet'!M59)="MOROCCO"),"Maroc",'📋 Inventaire Complet'!M59))</f>
        <v>Maroc</v>
      </c>
    </row>
    <row r="67" spans="22:22" x14ac:dyDescent="0.25">
      <c r="V67" s="20" t="str">
        <f>IF('📋 Inventaire Complet'!M60="","",IF(OR(UPPER('📋 Inventaire Complet'!M60)="MAROC",UPPER('📋 Inventaire Complet'!M60)="MOROCCO"),"Maroc",'📋 Inventaire Complet'!M60))</f>
        <v>Maroc</v>
      </c>
    </row>
    <row r="68" spans="22:22" x14ac:dyDescent="0.25">
      <c r="V68" s="20" t="str">
        <f>IF('📋 Inventaire Complet'!M61="","",IF(OR(UPPER('📋 Inventaire Complet'!M61)="MAROC",UPPER('📋 Inventaire Complet'!M61)="MOROCCO"),"Maroc",'📋 Inventaire Complet'!M61))</f>
        <v>Maroc</v>
      </c>
    </row>
    <row r="69" spans="22:22" x14ac:dyDescent="0.25">
      <c r="V69" s="20" t="str">
        <f>IF('📋 Inventaire Complet'!M62="","",IF(OR(UPPER('📋 Inventaire Complet'!M62)="MAROC",UPPER('📋 Inventaire Complet'!M62)="MOROCCO"),"Maroc",'📋 Inventaire Complet'!M62))</f>
        <v/>
      </c>
    </row>
    <row r="70" spans="22:22" x14ac:dyDescent="0.25">
      <c r="V70" s="20" t="str">
        <f>IF('📋 Inventaire Complet'!M63="","",IF(OR(UPPER('📋 Inventaire Complet'!M63)="MAROC",UPPER('📋 Inventaire Complet'!M63)="MOROCCO"),"Maroc",'📋 Inventaire Complet'!M63))</f>
        <v/>
      </c>
    </row>
    <row r="71" spans="22:22" x14ac:dyDescent="0.25">
      <c r="V71" s="20" t="str">
        <f>IF('📋 Inventaire Complet'!M64="","",IF(OR(UPPER('📋 Inventaire Complet'!M64)="MAROC",UPPER('📋 Inventaire Complet'!M64)="MOROCCO"),"Maroc",'📋 Inventaire Complet'!M64))</f>
        <v>Russia</v>
      </c>
    </row>
    <row r="72" spans="22:22" x14ac:dyDescent="0.25">
      <c r="V72" s="20" t="str">
        <f>IF('📋 Inventaire Complet'!M65="","",IF(OR(UPPER('📋 Inventaire Complet'!M65)="MAROC",UPPER('📋 Inventaire Complet'!M65)="MOROCCO"),"Maroc",'📋 Inventaire Complet'!M65))</f>
        <v>Indonesia</v>
      </c>
    </row>
    <row r="73" spans="22:22" x14ac:dyDescent="0.25">
      <c r="V73" s="20" t="str">
        <f>IF('📋 Inventaire Complet'!M66="","",IF(OR(UPPER('📋 Inventaire Complet'!M66)="MAROC",UPPER('📋 Inventaire Complet'!M66)="MOROCCO"),"Maroc",'📋 Inventaire Complet'!M66))</f>
        <v>Brazil</v>
      </c>
    </row>
    <row r="74" spans="22:22" x14ac:dyDescent="0.25">
      <c r="V74" s="20" t="str">
        <f>IF('📋 Inventaire Complet'!M67="","",IF(OR(UPPER('📋 Inventaire Complet'!M67)="MAROC",UPPER('📋 Inventaire Complet'!M67)="MOROCCO"),"Maroc",'📋 Inventaire Complet'!M67))</f>
        <v>Mexico</v>
      </c>
    </row>
    <row r="75" spans="22:22" x14ac:dyDescent="0.25">
      <c r="V75" s="20" t="str">
        <f>IF('📋 Inventaire Complet'!M68="","",IF(OR(UPPER('📋 Inventaire Complet'!M68)="MAROC",UPPER('📋 Inventaire Complet'!M68)="MOROCCO"),"Maroc",'📋 Inventaire Complet'!M68))</f>
        <v>Brazil</v>
      </c>
    </row>
    <row r="76" spans="22:22" x14ac:dyDescent="0.25">
      <c r="V76" s="20" t="str">
        <f>IF('📋 Inventaire Complet'!M69="","",IF(OR(UPPER('📋 Inventaire Complet'!M69)="MAROC",UPPER('📋 Inventaire Complet'!M69)="MOROCCO"),"Maroc",'📋 Inventaire Complet'!M69))</f>
        <v>Turkey</v>
      </c>
    </row>
    <row r="77" spans="22:22" x14ac:dyDescent="0.25">
      <c r="V77" s="20" t="str">
        <f>IF('📋 Inventaire Complet'!M70="","",IF(OR(UPPER('📋 Inventaire Complet'!M70)="MAROC",UPPER('📋 Inventaire Complet'!M70)="MOROCCO"),"Maroc",'📋 Inventaire Complet'!M70))</f>
        <v>Vietnam</v>
      </c>
    </row>
    <row r="78" spans="22:22" x14ac:dyDescent="0.25">
      <c r="V78" s="20" t="str">
        <f>IF('📋 Inventaire Complet'!M71="","",IF(OR(UPPER('📋 Inventaire Complet'!M71)="MAROC",UPPER('📋 Inventaire Complet'!M71)="MOROCCO"),"Maroc",'📋 Inventaire Complet'!M71))</f>
        <v/>
      </c>
    </row>
    <row r="79" spans="22:22" x14ac:dyDescent="0.25">
      <c r="V79" s="20" t="str">
        <f>IF('📋 Inventaire Complet'!M72="","",IF(OR(UPPER('📋 Inventaire Complet'!M72)="MAROC",UPPER('📋 Inventaire Complet'!M72)="MOROCCO"),"Maroc",'📋 Inventaire Complet'!M72))</f>
        <v/>
      </c>
    </row>
    <row r="80" spans="22:22" x14ac:dyDescent="0.25">
      <c r="V80" s="20" t="str">
        <f>IF('📋 Inventaire Complet'!M73="","",IF(OR(UPPER('📋 Inventaire Complet'!M73)="MAROC",UPPER('📋 Inventaire Complet'!M73)="MOROCCO"),"Maroc",'📋 Inventaire Complet'!M73))</f>
        <v/>
      </c>
    </row>
    <row r="81" spans="22:22" x14ac:dyDescent="0.25">
      <c r="V81" s="20" t="str">
        <f>IF('📋 Inventaire Complet'!M74="","",IF(OR(UPPER('📋 Inventaire Complet'!M74)="MAROC",UPPER('📋 Inventaire Complet'!M74)="MOROCCO"),"Maroc",'📋 Inventaire Complet'!M74))</f>
        <v>Spain</v>
      </c>
    </row>
    <row r="82" spans="22:22" x14ac:dyDescent="0.25">
      <c r="V82" s="20" t="str">
        <f>IF('📋 Inventaire Complet'!M75="","",IF(OR(UPPER('📋 Inventaire Complet'!M75)="MAROC",UPPER('📋 Inventaire Complet'!M75)="MOROCCO"),"Maroc",'📋 Inventaire Complet'!M75))</f>
        <v>Argentina</v>
      </c>
    </row>
    <row r="83" spans="22:22" x14ac:dyDescent="0.25">
      <c r="V83" s="20" t="str">
        <f>IF('📋 Inventaire Complet'!M76="","",IF(OR(UPPER('📋 Inventaire Complet'!M76)="MAROC",UPPER('📋 Inventaire Complet'!M76)="MOROCCO"),"Maroc",'📋 Inventaire Complet'!M76))</f>
        <v>Mexico</v>
      </c>
    </row>
    <row r="84" spans="22:22" x14ac:dyDescent="0.25">
      <c r="V84" s="20" t="str">
        <f>IF('📋 Inventaire Complet'!M77="","",IF(OR(UPPER('📋 Inventaire Complet'!M77)="MAROC",UPPER('📋 Inventaire Complet'!M77)="MOROCCO"),"Maroc",'📋 Inventaire Complet'!M77))</f>
        <v>Brazil</v>
      </c>
    </row>
    <row r="85" spans="22:22" x14ac:dyDescent="0.25">
      <c r="V85" s="20" t="str">
        <f>IF('📋 Inventaire Complet'!M78="","",IF(OR(UPPER('📋 Inventaire Complet'!M78)="MAROC",UPPER('📋 Inventaire Complet'!M78)="MOROCCO"),"Maroc",'📋 Inventaire Complet'!M78))</f>
        <v/>
      </c>
    </row>
    <row r="86" spans="22:22" x14ac:dyDescent="0.25">
      <c r="V86" s="20" t="str">
        <f>IF('📋 Inventaire Complet'!M79="","",IF(OR(UPPER('📋 Inventaire Complet'!M79)="MAROC",UPPER('📋 Inventaire Complet'!M79)="MOROCCO"),"Maroc",'📋 Inventaire Complet'!M79))</f>
        <v>Maroc</v>
      </c>
    </row>
    <row r="87" spans="22:22" x14ac:dyDescent="0.25">
      <c r="V87" s="20" t="str">
        <f>IF('📋 Inventaire Complet'!M80="","",IF(OR(UPPER('📋 Inventaire Complet'!M80)="MAROC",UPPER('📋 Inventaire Complet'!M80)="MOROCCO"),"Maroc",'📋 Inventaire Complet'!M80))</f>
        <v>Maroc</v>
      </c>
    </row>
    <row r="88" spans="22:22" x14ac:dyDescent="0.25">
      <c r="V88" s="20" t="str">
        <f>IF('📋 Inventaire Complet'!M81="","",IF(OR(UPPER('📋 Inventaire Complet'!M81)="MAROC",UPPER('📋 Inventaire Complet'!M81)="MOROCCO"),"Maroc",'📋 Inventaire Complet'!M81))</f>
        <v>Maroc</v>
      </c>
    </row>
    <row r="89" spans="22:22" x14ac:dyDescent="0.25">
      <c r="V89" s="20" t="str">
        <f>IF('📋 Inventaire Complet'!M82="","",IF(OR(UPPER('📋 Inventaire Complet'!M82)="MAROC",UPPER('📋 Inventaire Complet'!M82)="MOROCCO"),"Maroc",'📋 Inventaire Complet'!M82))</f>
        <v>Maroc</v>
      </c>
    </row>
    <row r="90" spans="22:22" x14ac:dyDescent="0.25">
      <c r="V90" s="20" t="str">
        <f>IF('📋 Inventaire Complet'!M83="","",IF(OR(UPPER('📋 Inventaire Complet'!M83)="MAROC",UPPER('📋 Inventaire Complet'!M83)="MOROCCO"),"Maroc",'📋 Inventaire Complet'!M83))</f>
        <v>Germany</v>
      </c>
    </row>
    <row r="91" spans="22:22" x14ac:dyDescent="0.25">
      <c r="V91" s="20" t="str">
        <f>IF('📋 Inventaire Complet'!M84="","",IF(OR(UPPER('📋 Inventaire Complet'!M84)="MAROC",UPPER('📋 Inventaire Complet'!M84)="MOROCCO"),"Maroc",'📋 Inventaire Complet'!M84))</f>
        <v/>
      </c>
    </row>
    <row r="92" spans="22:22" x14ac:dyDescent="0.25">
      <c r="V92" s="20" t="str">
        <f>IF('📋 Inventaire Complet'!M85="","",IF(OR(UPPER('📋 Inventaire Complet'!M85)="MAROC",UPPER('📋 Inventaire Complet'!M85)="MOROCCO"),"Maroc",'📋 Inventaire Complet'!M85))</f>
        <v>Canada; China; EPO; WIPO; United States</v>
      </c>
    </row>
    <row r="93" spans="22:22" x14ac:dyDescent="0.25">
      <c r="V93" s="20" t="str">
        <f>IF('📋 Inventaire Complet'!M86="","",IF(OR(UPPER('📋 Inventaire Complet'!M86)="MAROC",UPPER('📋 Inventaire Complet'!M86)="MOROCCO"),"Maroc",'📋 Inventaire Complet'!M86))</f>
        <v>EPO; India; Jordanien; WIPO</v>
      </c>
    </row>
    <row r="94" spans="22:22" x14ac:dyDescent="0.25">
      <c r="V94" s="20" t="str">
        <f>IF('📋 Inventaire Complet'!M87="","",IF(OR(UPPER('📋 Inventaire Complet'!M87)="MAROC",UPPER('📋 Inventaire Complet'!M87)="MOROCCO"),"Maroc",'📋 Inventaire Complet'!M87))</f>
        <v>Israel; United States</v>
      </c>
    </row>
    <row r="95" spans="22:22" x14ac:dyDescent="0.25">
      <c r="V95" s="20" t="str">
        <f>IF('📋 Inventaire Complet'!M88="","",IF(OR(UPPER('📋 Inventaire Complet'!M88)="MAROC",UPPER('📋 Inventaire Complet'!M88)="MOROCCO"),"Maroc",'📋 Inventaire Complet'!M88))</f>
        <v>Russia</v>
      </c>
    </row>
    <row r="96" spans="22:22" x14ac:dyDescent="0.25">
      <c r="V96" s="20" t="str">
        <f>IF('📋 Inventaire Complet'!M89="","",IF(OR(UPPER('📋 Inventaire Complet'!M89)="MAROC",UPPER('📋 Inventaire Complet'!M89)="MOROCCO"),"Maroc",'📋 Inventaire Complet'!M89))</f>
        <v>Austria; Germany</v>
      </c>
    </row>
    <row r="97" spans="22:22" x14ac:dyDescent="0.25">
      <c r="V97" s="20" t="str">
        <f>IF('📋 Inventaire Complet'!M90="","",IF(OR(UPPER('📋 Inventaire Complet'!M90)="MAROC",UPPER('📋 Inventaire Complet'!M90)="MOROCCO"),"Maroc",'📋 Inventaire Complet'!M90))</f>
        <v>Russia</v>
      </c>
    </row>
    <row r="98" spans="22:22" x14ac:dyDescent="0.25">
      <c r="V98" s="20" t="str">
        <f>IF('📋 Inventaire Complet'!M91="","",IF(OR(UPPER('📋 Inventaire Complet'!M91)="MAROC",UPPER('📋 Inventaire Complet'!M91)="MOROCCO"),"Maroc",'📋 Inventaire Complet'!M91))</f>
        <v>Russia</v>
      </c>
    </row>
    <row r="99" spans="22:22" x14ac:dyDescent="0.25">
      <c r="V99" s="20" t="str">
        <f>IF('📋 Inventaire Complet'!M92="","",IF(OR(UPPER('📋 Inventaire Complet'!M92)="MAROC",UPPER('📋 Inventaire Complet'!M92)="MOROCCO"),"Maroc",'📋 Inventaire Complet'!M92))</f>
        <v>Russia</v>
      </c>
    </row>
    <row r="100" spans="22:22" x14ac:dyDescent="0.25">
      <c r="V100" s="20" t="str">
        <f>IF('📋 Inventaire Complet'!M93="","",IF(OR(UPPER('📋 Inventaire Complet'!M93)="MAROC",UPPER('📋 Inventaire Complet'!M93)="MOROCCO"),"Maroc",'📋 Inventaire Complet'!M93))</f>
        <v>India; Mexico; WIPO</v>
      </c>
    </row>
    <row r="101" spans="22:22" x14ac:dyDescent="0.25">
      <c r="V101" s="20" t="str">
        <f>IF('📋 Inventaire Complet'!M94="","",IF(OR(UPPER('📋 Inventaire Complet'!M94)="MAROC",UPPER('📋 Inventaire Complet'!M94)="MOROCCO"),"Maroc",'📋 Inventaire Complet'!M94))</f>
        <v>China; EPO; WIPO</v>
      </c>
    </row>
    <row r="102" spans="22:22" x14ac:dyDescent="0.25">
      <c r="V102" s="20" t="str">
        <f>IF('📋 Inventaire Complet'!M95="","",IF(OR(UPPER('📋 Inventaire Complet'!M95)="MAROC",UPPER('📋 Inventaire Complet'!M95)="MOROCCO"),"Maroc",'📋 Inventaire Complet'!M95))</f>
        <v>Russia</v>
      </c>
    </row>
    <row r="103" spans="22:22" x14ac:dyDescent="0.25">
      <c r="V103" s="20" t="str">
        <f>IF('📋 Inventaire Complet'!M96="","",IF(OR(UPPER('📋 Inventaire Complet'!M96)="MAROC",UPPER('📋 Inventaire Complet'!M96)="MOROCCO"),"Maroc",'📋 Inventaire Complet'!M96))</f>
        <v>Brazil</v>
      </c>
    </row>
    <row r="104" spans="22:22" x14ac:dyDescent="0.25">
      <c r="V104" s="20" t="str">
        <f>IF('📋 Inventaire Complet'!M97="","",IF(OR(UPPER('📋 Inventaire Complet'!M97)="MAROC",UPPER('📋 Inventaire Complet'!M97)="MOROCCO"),"Maroc",'📋 Inventaire Complet'!M97))</f>
        <v>Canada; China; EPO; Finland; WIPO; United States</v>
      </c>
    </row>
    <row r="105" spans="22:22" x14ac:dyDescent="0.25">
      <c r="V105" s="20" t="str">
        <f>IF('📋 Inventaire Complet'!M98="","",IF(OR(UPPER('📋 Inventaire Complet'!M98)="MAROC",UPPER('📋 Inventaire Complet'!M98)="MOROCCO"),"Maroc",'📋 Inventaire Complet'!M98))</f>
        <v>Germany</v>
      </c>
    </row>
    <row r="106" spans="22:22" x14ac:dyDescent="0.25">
      <c r="V106" s="20" t="str">
        <f>IF('📋 Inventaire Complet'!M99="","",IF(OR(UPPER('📋 Inventaire Complet'!M99)="MAROC",UPPER('📋 Inventaire Complet'!M99)="MOROCCO"),"Maroc",'📋 Inventaire Complet'!M99))</f>
        <v>China; EPO; WIPO</v>
      </c>
    </row>
    <row r="107" spans="22:22" x14ac:dyDescent="0.25">
      <c r="V107" s="20" t="str">
        <f>IF('📋 Inventaire Complet'!M100="","",IF(OR(UPPER('📋 Inventaire Complet'!M100)="MAROC",UPPER('📋 Inventaire Complet'!M100)="MOROCCO"),"Maroc",'📋 Inventaire Complet'!M100))</f>
        <v>Russia</v>
      </c>
    </row>
    <row r="108" spans="22:22" x14ac:dyDescent="0.25">
      <c r="V108" s="20" t="str">
        <f>IF('📋 Inventaire Complet'!M101="","",IF(OR(UPPER('📋 Inventaire Complet'!M101)="MAROC",UPPER('📋 Inventaire Complet'!M101)="MOROCCO"),"Maroc",'📋 Inventaire Complet'!M101))</f>
        <v>Jordanien; United States</v>
      </c>
    </row>
    <row r="109" spans="22:22" x14ac:dyDescent="0.25">
      <c r="V109" s="20" t="str">
        <f>IF('📋 Inventaire Complet'!M102="","",IF(OR(UPPER('📋 Inventaire Complet'!M102)="MAROC",UPPER('📋 Inventaire Complet'!M102)="MOROCCO"),"Maroc",'📋 Inventaire Complet'!M102))</f>
        <v>Maroc</v>
      </c>
    </row>
    <row r="110" spans="22:22" x14ac:dyDescent="0.25">
      <c r="V110" s="20" t="str">
        <f>IF('📋 Inventaire Complet'!M103="","",IF(OR(UPPER('📋 Inventaire Complet'!M103)="MAROC",UPPER('📋 Inventaire Complet'!M103)="MOROCCO"),"Maroc",'📋 Inventaire Complet'!M103))</f>
        <v>Spain</v>
      </c>
    </row>
    <row r="111" spans="22:22" x14ac:dyDescent="0.25">
      <c r="V111" s="20" t="str">
        <f>IF('📋 Inventaire Complet'!M104="","",IF(OR(UPPER('📋 Inventaire Complet'!M104)="MAROC",UPPER('📋 Inventaire Complet'!M104)="MOROCCO"),"Maroc",'📋 Inventaire Complet'!M104))</f>
        <v>Argentina</v>
      </c>
    </row>
    <row r="112" spans="22:22" x14ac:dyDescent="0.25">
      <c r="V112" s="20" t="str">
        <f>IF('📋 Inventaire Complet'!M105="","",IF(OR(UPPER('📋 Inventaire Complet'!M105)="MAROC",UPPER('📋 Inventaire Complet'!M105)="MOROCCO"),"Maroc",'📋 Inventaire Complet'!M105))</f>
        <v>China; EPO; China Hong Kong; India; OAPI; WIPO; United States</v>
      </c>
    </row>
    <row r="113" spans="22:22" x14ac:dyDescent="0.25">
      <c r="V113" s="20" t="str">
        <f>IF('📋 Inventaire Complet'!M106="","",IF(OR(UPPER('📋 Inventaire Complet'!M106)="MAROC",UPPER('📋 Inventaire Complet'!M106)="MOROCCO"),"Maroc",'📋 Inventaire Complet'!M106))</f>
        <v>India; Saudi Arabia; Singapore; United States; South Africa</v>
      </c>
    </row>
    <row r="114" spans="22:22" x14ac:dyDescent="0.25">
      <c r="V114" s="20" t="str">
        <f>IF('📋 Inventaire Complet'!M107="","",IF(OR(UPPER('📋 Inventaire Complet'!M107)="MAROC",UPPER('📋 Inventaire Complet'!M107)="MOROCCO"),"Maroc",'📋 Inventaire Complet'!M107))</f>
        <v>Israel; Jordanien; United States</v>
      </c>
    </row>
    <row r="115" spans="22:22" x14ac:dyDescent="0.25">
      <c r="V115" s="20" t="str">
        <f>IF('📋 Inventaire Complet'!M108="","",IF(OR(UPPER('📋 Inventaire Complet'!M108)="MAROC",UPPER('📋 Inventaire Complet'!M108)="MOROCCO"),"Maroc",'📋 Inventaire Complet'!M108))</f>
        <v>South Africa</v>
      </c>
    </row>
    <row r="116" spans="22:22" x14ac:dyDescent="0.25">
      <c r="V116" s="20" t="str">
        <f>IF('📋 Inventaire Complet'!M109="","",IF(OR(UPPER('📋 Inventaire Complet'!M109)="MAROC",UPPER('📋 Inventaire Complet'!M109)="MOROCCO"),"Maroc",'📋 Inventaire Complet'!M109))</f>
        <v>Tunisia</v>
      </c>
    </row>
    <row r="117" spans="22:22" x14ac:dyDescent="0.25">
      <c r="V117" s="20" t="str">
        <f>IF('📋 Inventaire Complet'!M110="","",IF(OR(UPPER('📋 Inventaire Complet'!M110)="MAROC",UPPER('📋 Inventaire Complet'!M110)="MOROCCO"),"Maroc",'📋 Inventaire Complet'!M110))</f>
        <v>Japan</v>
      </c>
    </row>
    <row r="118" spans="22:22" x14ac:dyDescent="0.25">
      <c r="V118" s="20" t="str">
        <f>IF('📋 Inventaire Complet'!M111="","",IF(OR(UPPER('📋 Inventaire Complet'!M111)="MAROC",UPPER('📋 Inventaire Complet'!M111)="MOROCCO"),"Maroc",'📋 Inventaire Complet'!M111))</f>
        <v>Great Britain</v>
      </c>
    </row>
    <row r="119" spans="22:22" x14ac:dyDescent="0.25">
      <c r="V119" s="20" t="str">
        <f>IF('📋 Inventaire Complet'!M112="","",IF(OR(UPPER('📋 Inventaire Complet'!M112)="MAROC",UPPER('📋 Inventaire Complet'!M112)="MOROCCO"),"Maroc",'📋 Inventaire Complet'!M112))</f>
        <v>EAPO</v>
      </c>
    </row>
    <row r="120" spans="22:22" x14ac:dyDescent="0.25">
      <c r="V120" s="20" t="str">
        <f>IF('📋 Inventaire Complet'!M113="","",IF(OR(UPPER('📋 Inventaire Complet'!M113)="MAROC",UPPER('📋 Inventaire Complet'!M113)="MOROCCO"),"Maroc",'📋 Inventaire Complet'!M113))</f>
        <v>China</v>
      </c>
    </row>
    <row r="121" spans="22:22" x14ac:dyDescent="0.25">
      <c r="V121" s="20" t="str">
        <f>IF('📋 Inventaire Complet'!M114="","",IF(OR(UPPER('📋 Inventaire Complet'!M114)="MAROC",UPPER('📋 Inventaire Complet'!M114)="MOROCCO"),"Maroc",'📋 Inventaire Complet'!M114))</f>
        <v>Japan</v>
      </c>
    </row>
    <row r="122" spans="22:22" x14ac:dyDescent="0.25">
      <c r="V122" s="20" t="str">
        <f>IF('📋 Inventaire Complet'!M115="","",IF(OR(UPPER('📋 Inventaire Complet'!M115)="MAROC",UPPER('📋 Inventaire Complet'!M115)="MOROCCO"),"Maroc",'📋 Inventaire Complet'!M115))</f>
        <v>Japan</v>
      </c>
    </row>
    <row r="123" spans="22:22" x14ac:dyDescent="0.25">
      <c r="V123" s="20" t="str">
        <f>IF('📋 Inventaire Complet'!M116="","",IF(OR(UPPER('📋 Inventaire Complet'!M116)="MAROC",UPPER('📋 Inventaire Complet'!M116)="MOROCCO"),"Maroc",'📋 Inventaire Complet'!M116))</f>
        <v>Russia</v>
      </c>
    </row>
    <row r="124" spans="22:22" x14ac:dyDescent="0.25">
      <c r="V124" s="20" t="str">
        <f>IF('📋 Inventaire Complet'!M117="","",IF(OR(UPPER('📋 Inventaire Complet'!M117)="MAROC",UPPER('📋 Inventaire Complet'!M117)="MOROCCO"),"Maroc",'📋 Inventaire Complet'!M117))</f>
        <v>Russia</v>
      </c>
    </row>
    <row r="125" spans="22:22" x14ac:dyDescent="0.25">
      <c r="V125" s="20" t="str">
        <f>IF('📋 Inventaire Complet'!M118="","",IF(OR(UPPER('📋 Inventaire Complet'!M118)="MAROC",UPPER('📋 Inventaire Complet'!M118)="MOROCCO"),"Maroc",'📋 Inventaire Complet'!M118))</f>
        <v>China</v>
      </c>
    </row>
    <row r="126" spans="22:22" x14ac:dyDescent="0.25">
      <c r="V126" s="20" t="str">
        <f>IF('📋 Inventaire Complet'!M119="","",IF(OR(UPPER('📋 Inventaire Complet'!M119)="MAROC",UPPER('📋 Inventaire Complet'!M119)="MOROCCO"),"Maroc",'📋 Inventaire Complet'!M119))</f>
        <v>Russia</v>
      </c>
    </row>
    <row r="127" spans="22:22" x14ac:dyDescent="0.25">
      <c r="V127" s="20" t="str">
        <f>IF('📋 Inventaire Complet'!M120="","",IF(OR(UPPER('📋 Inventaire Complet'!M120)="MAROC",UPPER('📋 Inventaire Complet'!M120)="MOROCCO"),"Maroc",'📋 Inventaire Complet'!M120))</f>
        <v>Russia</v>
      </c>
    </row>
    <row r="128" spans="22:22" x14ac:dyDescent="0.25">
      <c r="V128" s="20" t="str">
        <f>IF('📋 Inventaire Complet'!M121="","",IF(OR(UPPER('📋 Inventaire Complet'!M121)="MAROC",UPPER('📋 Inventaire Complet'!M121)="MOROCCO"),"Maroc",'📋 Inventaire Complet'!M121))</f>
        <v>China</v>
      </c>
    </row>
    <row r="129" spans="22:22" x14ac:dyDescent="0.25">
      <c r="V129" s="20" t="str">
        <f>IF('📋 Inventaire Complet'!M122="","",IF(OR(UPPER('📋 Inventaire Complet'!M122)="MAROC",UPPER('📋 Inventaire Complet'!M122)="MOROCCO"),"Maroc",'📋 Inventaire Complet'!M122))</f>
        <v>Russia</v>
      </c>
    </row>
    <row r="130" spans="22:22" x14ac:dyDescent="0.25">
      <c r="V130" s="20" t="str">
        <f>IF('📋 Inventaire Complet'!M123="","",IF(OR(UPPER('📋 Inventaire Complet'!M123)="MAROC",UPPER('📋 Inventaire Complet'!M123)="MOROCCO"),"Maroc",'📋 Inventaire Complet'!M123))</f>
        <v>Russia</v>
      </c>
    </row>
    <row r="131" spans="22:22" x14ac:dyDescent="0.25">
      <c r="V131" s="20" t="str">
        <f>IF('📋 Inventaire Complet'!M124="","",IF(OR(UPPER('📋 Inventaire Complet'!M124)="MAROC",UPPER('📋 Inventaire Complet'!M124)="MOROCCO"),"Maroc",'📋 Inventaire Complet'!M124))</f>
        <v>Russia</v>
      </c>
    </row>
    <row r="132" spans="22:22" x14ac:dyDescent="0.25">
      <c r="V132" s="20" t="str">
        <f>IF('📋 Inventaire Complet'!M125="","",IF(OR(UPPER('📋 Inventaire Complet'!M125)="MAROC",UPPER('📋 Inventaire Complet'!M125)="MOROCCO"),"Maroc",'📋 Inventaire Complet'!M125))</f>
        <v>Russia</v>
      </c>
    </row>
    <row r="133" spans="22:22" x14ac:dyDescent="0.25">
      <c r="V133" s="20" t="str">
        <f>IF('📋 Inventaire Complet'!M126="","",IF(OR(UPPER('📋 Inventaire Complet'!M126)="MAROC",UPPER('📋 Inventaire Complet'!M126)="MOROCCO"),"Maroc",'📋 Inventaire Complet'!M126))</f>
        <v>Japan</v>
      </c>
    </row>
    <row r="134" spans="22:22" x14ac:dyDescent="0.25">
      <c r="V134" s="20" t="str">
        <f>IF('📋 Inventaire Complet'!M127="","",IF(OR(UPPER('📋 Inventaire Complet'!M127)="MAROC",UPPER('📋 Inventaire Complet'!M127)="MOROCCO"),"Maroc",'📋 Inventaire Complet'!M127))</f>
        <v>Russia</v>
      </c>
    </row>
    <row r="135" spans="22:22" x14ac:dyDescent="0.25">
      <c r="V135" s="20" t="str">
        <f>IF('📋 Inventaire Complet'!M128="","",IF(OR(UPPER('📋 Inventaire Complet'!M128)="MAROC",UPPER('📋 Inventaire Complet'!M128)="MOROCCO"),"Maroc",'📋 Inventaire Complet'!M128))</f>
        <v>Russia</v>
      </c>
    </row>
    <row r="136" spans="22:22" x14ac:dyDescent="0.25">
      <c r="V136" s="20" t="str">
        <f>IF('📋 Inventaire Complet'!M129="","",IF(OR(UPPER('📋 Inventaire Complet'!M129)="MAROC",UPPER('📋 Inventaire Complet'!M129)="MOROCCO"),"Maroc",'📋 Inventaire Complet'!M129))</f>
        <v>Russia</v>
      </c>
    </row>
    <row r="137" spans="22:22" x14ac:dyDescent="0.25">
      <c r="V137" s="20" t="str">
        <f>IF('📋 Inventaire Complet'!M130="","",IF(OR(UPPER('📋 Inventaire Complet'!M130)="MAROC",UPPER('📋 Inventaire Complet'!M130)="MOROCCO"),"Maroc",'📋 Inventaire Complet'!M130))</f>
        <v>China</v>
      </c>
    </row>
    <row r="138" spans="22:22" x14ac:dyDescent="0.25">
      <c r="V138" s="20" t="str">
        <f>IF('📋 Inventaire Complet'!M131="","",IF(OR(UPPER('📋 Inventaire Complet'!M131)="MAROC",UPPER('📋 Inventaire Complet'!M131)="MOROCCO"),"Maroc",'📋 Inventaire Complet'!M131))</f>
        <v>China</v>
      </c>
    </row>
    <row r="139" spans="22:22" x14ac:dyDescent="0.25">
      <c r="V139" s="20" t="str">
        <f>IF('📋 Inventaire Complet'!M132="","",IF(OR(UPPER('📋 Inventaire Complet'!M132)="MAROC",UPPER('📋 Inventaire Complet'!M132)="MOROCCO"),"Maroc",'📋 Inventaire Complet'!M132))</f>
        <v>Russia</v>
      </c>
    </row>
    <row r="140" spans="22:22" x14ac:dyDescent="0.25">
      <c r="V140" s="20" t="str">
        <f>IF('📋 Inventaire Complet'!M133="","",IF(OR(UPPER('📋 Inventaire Complet'!M133)="MAROC",UPPER('📋 Inventaire Complet'!M133)="MOROCCO"),"Maroc",'📋 Inventaire Complet'!M133))</f>
        <v>Russia</v>
      </c>
    </row>
    <row r="141" spans="22:22" x14ac:dyDescent="0.25">
      <c r="V141" s="20" t="str">
        <f>IF('📋 Inventaire Complet'!M134="","",IF(OR(UPPER('📋 Inventaire Complet'!M134)="MAROC",UPPER('📋 Inventaire Complet'!M134)="MOROCCO"),"Maroc",'📋 Inventaire Complet'!M134))</f>
        <v>Russia</v>
      </c>
    </row>
    <row r="142" spans="22:22" x14ac:dyDescent="0.25">
      <c r="V142" s="20" t="str">
        <f>IF('📋 Inventaire Complet'!M135="","",IF(OR(UPPER('📋 Inventaire Complet'!M135)="MAROC",UPPER('📋 Inventaire Complet'!M135)="MOROCCO"),"Maroc",'📋 Inventaire Complet'!M135))</f>
        <v>China</v>
      </c>
    </row>
    <row r="143" spans="22:22" x14ac:dyDescent="0.25">
      <c r="V143" s="20" t="str">
        <f>IF('📋 Inventaire Complet'!M136="","",IF(OR(UPPER('📋 Inventaire Complet'!M136)="MAROC",UPPER('📋 Inventaire Complet'!M136)="MOROCCO"),"Maroc",'📋 Inventaire Complet'!M136))</f>
        <v>Russia</v>
      </c>
    </row>
    <row r="144" spans="22:22" x14ac:dyDescent="0.25">
      <c r="V144" s="20" t="str">
        <f>IF('📋 Inventaire Complet'!M137="","",IF(OR(UPPER('📋 Inventaire Complet'!M137)="MAROC",UPPER('📋 Inventaire Complet'!M137)="MOROCCO"),"Maroc",'📋 Inventaire Complet'!M137))</f>
        <v>Japan</v>
      </c>
    </row>
    <row r="145" spans="22:22" x14ac:dyDescent="0.25">
      <c r="V145" s="20" t="str">
        <f>IF('📋 Inventaire Complet'!M138="","",IF(OR(UPPER('📋 Inventaire Complet'!M138)="MAROC",UPPER('📋 Inventaire Complet'!M138)="MOROCCO"),"Maroc",'📋 Inventaire Complet'!M138))</f>
        <v>EAPO</v>
      </c>
    </row>
    <row r="146" spans="22:22" x14ac:dyDescent="0.25">
      <c r="V146" s="20" t="str">
        <f>IF('📋 Inventaire Complet'!M139="","",IF(OR(UPPER('📋 Inventaire Complet'!M139)="MAROC",UPPER('📋 Inventaire Complet'!M139)="MOROCCO"),"Maroc",'📋 Inventaire Complet'!M139))</f>
        <v>China</v>
      </c>
    </row>
    <row r="147" spans="22:22" x14ac:dyDescent="0.25">
      <c r="V147" s="20" t="str">
        <f>IF('📋 Inventaire Complet'!M140="","",IF(OR(UPPER('📋 Inventaire Complet'!M140)="MAROC",UPPER('📋 Inventaire Complet'!M140)="MOROCCO"),"Maroc",'📋 Inventaire Complet'!M140))</f>
        <v>Russia</v>
      </c>
    </row>
    <row r="148" spans="22:22" x14ac:dyDescent="0.25">
      <c r="V148" s="20" t="str">
        <f>IF('📋 Inventaire Complet'!M141="","",IF(OR(UPPER('📋 Inventaire Complet'!M141)="MAROC",UPPER('📋 Inventaire Complet'!M141)="MOROCCO"),"Maroc",'📋 Inventaire Complet'!M141))</f>
        <v>Russia</v>
      </c>
    </row>
    <row r="149" spans="22:22" x14ac:dyDescent="0.25">
      <c r="V149" s="20" t="str">
        <f>IF('📋 Inventaire Complet'!M142="","",IF(OR(UPPER('📋 Inventaire Complet'!M142)="MAROC",UPPER('📋 Inventaire Complet'!M142)="MOROCCO"),"Maroc",'📋 Inventaire Complet'!M142))</f>
        <v>China</v>
      </c>
    </row>
    <row r="150" spans="22:22" x14ac:dyDescent="0.25">
      <c r="V150" s="20" t="str">
        <f>IF('📋 Inventaire Complet'!M143="","",IF(OR(UPPER('📋 Inventaire Complet'!M143)="MAROC",UPPER('📋 Inventaire Complet'!M143)="MOROCCO"),"Maroc",'📋 Inventaire Complet'!M143))</f>
        <v>Austria; Germany</v>
      </c>
    </row>
    <row r="151" spans="22:22" x14ac:dyDescent="0.25">
      <c r="V151" s="20" t="str">
        <f>IF('📋 Inventaire Complet'!M144="","",IF(OR(UPPER('📋 Inventaire Complet'!M144)="MAROC",UPPER('📋 Inventaire Complet'!M144)="MOROCCO"),"Maroc",'📋 Inventaire Complet'!M144))</f>
        <v/>
      </c>
    </row>
    <row r="152" spans="22:22" x14ac:dyDescent="0.25">
      <c r="V152" s="20" t="str">
        <f>IF('📋 Inventaire Complet'!M145="","",IF(OR(UPPER('📋 Inventaire Complet'!M145)="MAROC",UPPER('📋 Inventaire Complet'!M145)="MOROCCO"),"Maroc",'📋 Inventaire Complet'!M145))</f>
        <v>Maroc</v>
      </c>
    </row>
    <row r="153" spans="22:22" x14ac:dyDescent="0.25">
      <c r="V153" s="20" t="str">
        <f>IF('📋 Inventaire Complet'!M146="","",IF(OR(UPPER('📋 Inventaire Complet'!M146)="MAROC",UPPER('📋 Inventaire Complet'!M146)="MOROCCO"),"Maroc",'📋 Inventaire Complet'!M146))</f>
        <v>Maroc</v>
      </c>
    </row>
    <row r="154" spans="22:22" x14ac:dyDescent="0.25">
      <c r="V154" s="20" t="str">
        <f>IF('📋 Inventaire Complet'!M147="","",IF(OR(UPPER('📋 Inventaire Complet'!M147)="MAROC",UPPER('📋 Inventaire Complet'!M147)="MOROCCO"),"Maroc",'📋 Inventaire Complet'!M147))</f>
        <v>Maroc</v>
      </c>
    </row>
    <row r="155" spans="22:22" x14ac:dyDescent="0.25">
      <c r="V155" s="20" t="str">
        <f>IF('📋 Inventaire Complet'!M148="","",IF(OR(UPPER('📋 Inventaire Complet'!M148)="MAROC",UPPER('📋 Inventaire Complet'!M148)="MOROCCO"),"Maroc",'📋 Inventaire Complet'!M148))</f>
        <v/>
      </c>
    </row>
    <row r="156" spans="22:22" x14ac:dyDescent="0.25">
      <c r="V156" s="20" t="str">
        <f>IF('📋 Inventaire Complet'!M149="","",IF(OR(UPPER('📋 Inventaire Complet'!M149)="MAROC",UPPER('📋 Inventaire Complet'!M149)="MOROCCO"),"Maroc",'📋 Inventaire Complet'!M149))</f>
        <v/>
      </c>
    </row>
    <row r="157" spans="22:22" x14ac:dyDescent="0.25">
      <c r="V157" s="20" t="str">
        <f>IF('📋 Inventaire Complet'!M150="","",IF(OR(UPPER('📋 Inventaire Complet'!M150)="MAROC",UPPER('📋 Inventaire Complet'!M150)="MOROCCO"),"Maroc",'📋 Inventaire Complet'!M150))</f>
        <v>Russia</v>
      </c>
    </row>
    <row r="158" spans="22:22" x14ac:dyDescent="0.25">
      <c r="V158" s="20" t="str">
        <f>IF('📋 Inventaire Complet'!M151="","",IF(OR(UPPER('📋 Inventaire Complet'!M151)="MAROC",UPPER('📋 Inventaire Complet'!M151)="MOROCCO"),"Maroc",'📋 Inventaire Complet'!M151))</f>
        <v>Maroc</v>
      </c>
    </row>
    <row r="159" spans="22:22" x14ac:dyDescent="0.25">
      <c r="V159" s="20" t="str">
        <f>IF('📋 Inventaire Complet'!M152="","",IF(OR(UPPER('📋 Inventaire Complet'!M152)="MAROC",UPPER('📋 Inventaire Complet'!M152)="MOROCCO"),"Maroc",'📋 Inventaire Complet'!M152))</f>
        <v/>
      </c>
    </row>
    <row r="160" spans="22:22" x14ac:dyDescent="0.25">
      <c r="V160" s="20" t="str">
        <f>IF('📋 Inventaire Complet'!M153="","",IF(OR(UPPER('📋 Inventaire Complet'!M153)="MAROC",UPPER('📋 Inventaire Complet'!M153)="MOROCCO"),"Maroc",'📋 Inventaire Complet'!M153))</f>
        <v/>
      </c>
    </row>
    <row r="161" spans="22:22" x14ac:dyDescent="0.25">
      <c r="V161" s="20" t="str">
        <f>IF('📋 Inventaire Complet'!M154="","",IF(OR(UPPER('📋 Inventaire Complet'!M154)="MAROC",UPPER('📋 Inventaire Complet'!M154)="MOROCCO"),"Maroc",'📋 Inventaire Complet'!M154))</f>
        <v/>
      </c>
    </row>
    <row r="162" spans="22:22" x14ac:dyDescent="0.25">
      <c r="V162" s="20" t="str">
        <f>IF('📋 Inventaire Complet'!M155="","",IF(OR(UPPER('📋 Inventaire Complet'!M155)="MAROC",UPPER('📋 Inventaire Complet'!M155)="MOROCCO"),"Maroc",'📋 Inventaire Complet'!M155))</f>
        <v>Maroc</v>
      </c>
    </row>
    <row r="163" spans="22:22" x14ac:dyDescent="0.25">
      <c r="V163" s="20" t="str">
        <f>IF('📋 Inventaire Complet'!M156="","",IF(OR(UPPER('📋 Inventaire Complet'!M156)="MAROC",UPPER('📋 Inventaire Complet'!M156)="MOROCCO"),"Maroc",'📋 Inventaire Complet'!M156))</f>
        <v>International; PCT; MAROC</v>
      </c>
    </row>
    <row r="164" spans="22:22" x14ac:dyDescent="0.25">
      <c r="V164" s="20" t="str">
        <f>IF('📋 Inventaire Complet'!M157="","",IF(OR(UPPER('📋 Inventaire Complet'!M157)="MAROC",UPPER('📋 Inventaire Complet'!M157)="MOROCCO"),"Maroc",'📋 Inventaire Complet'!M157))</f>
        <v/>
      </c>
    </row>
    <row r="165" spans="22:22" x14ac:dyDescent="0.25">
      <c r="V165" s="20" t="str">
        <f>IF('📋 Inventaire Complet'!M158="","",IF(OR(UPPER('📋 Inventaire Complet'!M158)="MAROC",UPPER('📋 Inventaire Complet'!M158)="MOROCCO"),"Maroc",'📋 Inventaire Complet'!M158))</f>
        <v>Maroc</v>
      </c>
    </row>
    <row r="166" spans="22:22" x14ac:dyDescent="0.25">
      <c r="V166" s="20" t="str">
        <f>IF('📋 Inventaire Complet'!M159="","",IF(OR(UPPER('📋 Inventaire Complet'!M159)="MAROC",UPPER('📋 Inventaire Complet'!M159)="MOROCCO"),"Maroc",'📋 Inventaire Complet'!M159))</f>
        <v>Australia; Canada; WIPO; South Africa</v>
      </c>
    </row>
    <row r="167" spans="22:22" x14ac:dyDescent="0.25">
      <c r="V167" s="20" t="str">
        <f>IF('📋 Inventaire Complet'!M160="","",IF(OR(UPPER('📋 Inventaire Complet'!M160)="MAROC",UPPER('📋 Inventaire Complet'!M160)="MOROCCO"),"Maroc",'📋 Inventaire Complet'!M160))</f>
        <v/>
      </c>
    </row>
    <row r="168" spans="22:22" x14ac:dyDescent="0.25">
      <c r="V168" s="20" t="str">
        <f>IF('📋 Inventaire Complet'!M161="","",IF(OR(UPPER('📋 Inventaire Complet'!M161)="MAROC",UPPER('📋 Inventaire Complet'!M161)="MOROCCO"),"Maroc",'📋 Inventaire Complet'!M161))</f>
        <v>Maroc</v>
      </c>
    </row>
    <row r="169" spans="22:22" x14ac:dyDescent="0.25">
      <c r="V169" s="20" t="str">
        <f>IF('📋 Inventaire Complet'!M162="","",IF(OR(UPPER('📋 Inventaire Complet'!M162)="MAROC",UPPER('📋 Inventaire Complet'!M162)="MOROCCO"),"Maroc",'📋 Inventaire Complet'!M162))</f>
        <v>Maroc</v>
      </c>
    </row>
    <row r="170" spans="22:22" x14ac:dyDescent="0.25">
      <c r="V170" s="20" t="str">
        <f>IF('📋 Inventaire Complet'!M163="","",IF(OR(UPPER('📋 Inventaire Complet'!M163)="MAROC",UPPER('📋 Inventaire Complet'!M163)="MOROCCO"),"Maroc",'📋 Inventaire Complet'!M163))</f>
        <v>Maroc</v>
      </c>
    </row>
    <row r="171" spans="22:22" x14ac:dyDescent="0.25">
      <c r="V171" s="20" t="str">
        <f>IF('📋 Inventaire Complet'!M164="","",IF(OR(UPPER('📋 Inventaire Complet'!M164)="MAROC",UPPER('📋 Inventaire Complet'!M164)="MOROCCO"),"Maroc",'📋 Inventaire Complet'!M164))</f>
        <v/>
      </c>
    </row>
    <row r="172" spans="22:22" x14ac:dyDescent="0.25">
      <c r="V172" s="20" t="str">
        <f>IF('📋 Inventaire Complet'!M165="","",IF(OR(UPPER('📋 Inventaire Complet'!M165)="MAROC",UPPER('📋 Inventaire Complet'!M165)="MOROCCO"),"Maroc",'📋 Inventaire Complet'!M165))</f>
        <v/>
      </c>
    </row>
    <row r="173" spans="22:22" x14ac:dyDescent="0.25">
      <c r="V173" s="20" t="str">
        <f>IF('📋 Inventaire Complet'!M166="","",IF(OR(UPPER('📋 Inventaire Complet'!M166)="MAROC",UPPER('📋 Inventaire Complet'!M166)="MOROCCO"),"Maroc",'📋 Inventaire Complet'!M166))</f>
        <v>Maroc</v>
      </c>
    </row>
    <row r="174" spans="22:22" x14ac:dyDescent="0.25">
      <c r="V174" s="20" t="str">
        <f>IF('📋 Inventaire Complet'!M167="","",IF(OR(UPPER('📋 Inventaire Complet'!M167)="MAROC",UPPER('📋 Inventaire Complet'!M167)="MOROCCO"),"Maroc",'📋 Inventaire Complet'!M167))</f>
        <v>Maroc</v>
      </c>
    </row>
    <row r="175" spans="22:22" x14ac:dyDescent="0.25">
      <c r="V175" s="20" t="str">
        <f>IF('📋 Inventaire Complet'!M168="","",IF(OR(UPPER('📋 Inventaire Complet'!M168)="MAROC",UPPER('📋 Inventaire Complet'!M168)="MOROCCO"),"Maroc",'📋 Inventaire Complet'!M168))</f>
        <v/>
      </c>
    </row>
    <row r="176" spans="22:22" x14ac:dyDescent="0.25">
      <c r="V176" s="20" t="str">
        <f>IF('📋 Inventaire Complet'!M169="","",IF(OR(UPPER('📋 Inventaire Complet'!M169)="MAROC",UPPER('📋 Inventaire Complet'!M169)="MOROCCO"),"Maroc",'📋 Inventaire Complet'!M169))</f>
        <v>Maroc</v>
      </c>
    </row>
    <row r="177" spans="22:22" x14ac:dyDescent="0.25">
      <c r="V177" s="20" t="str">
        <f>IF('📋 Inventaire Complet'!M170="","",IF(OR(UPPER('📋 Inventaire Complet'!M170)="MAROC",UPPER('📋 Inventaire Complet'!M170)="MOROCCO"),"Maroc",'📋 Inventaire Complet'!M170))</f>
        <v>Maroc</v>
      </c>
    </row>
    <row r="178" spans="22:22" x14ac:dyDescent="0.25">
      <c r="V178" s="20" t="str">
        <f>IF('📋 Inventaire Complet'!M171="","",IF(OR(UPPER('📋 Inventaire Complet'!M171)="MAROC",UPPER('📋 Inventaire Complet'!M171)="MOROCCO"),"Maroc",'📋 Inventaire Complet'!M171))</f>
        <v/>
      </c>
    </row>
    <row r="179" spans="22:22" x14ac:dyDescent="0.25">
      <c r="V179" s="20" t="str">
        <f>IF('📋 Inventaire Complet'!M172="","",IF(OR(UPPER('📋 Inventaire Complet'!M172)="MAROC",UPPER('📋 Inventaire Complet'!M172)="MOROCCO"),"Maroc",'📋 Inventaire Complet'!M172))</f>
        <v/>
      </c>
    </row>
    <row r="180" spans="22:22" x14ac:dyDescent="0.25">
      <c r="V180" s="20" t="str">
        <f>IF('📋 Inventaire Complet'!M173="","",IF(OR(UPPER('📋 Inventaire Complet'!M173)="MAROC",UPPER('📋 Inventaire Complet'!M173)="MOROCCO"),"Maroc",'📋 Inventaire Complet'!M173))</f>
        <v>Maroc</v>
      </c>
    </row>
    <row r="181" spans="22:22" x14ac:dyDescent="0.25">
      <c r="V181" s="20" t="str">
        <f>IF('📋 Inventaire Complet'!M174="","",IF(OR(UPPER('📋 Inventaire Complet'!M174)="MAROC",UPPER('📋 Inventaire Complet'!M174)="MOROCCO"),"Maroc",'📋 Inventaire Complet'!M174))</f>
        <v/>
      </c>
    </row>
    <row r="182" spans="22:22" x14ac:dyDescent="0.25">
      <c r="V182" s="20" t="str">
        <f>IF('📋 Inventaire Complet'!M175="","",IF(OR(UPPER('📋 Inventaire Complet'!M175)="MAROC",UPPER('📋 Inventaire Complet'!M175)="MOROCCO"),"Maroc",'📋 Inventaire Complet'!M175))</f>
        <v/>
      </c>
    </row>
    <row r="183" spans="22:22" x14ac:dyDescent="0.25">
      <c r="V183" s="20" t="str">
        <f>IF('📋 Inventaire Complet'!M176="","",IF(OR(UPPER('📋 Inventaire Complet'!M176)="MAROC",UPPER('📋 Inventaire Complet'!M176)="MOROCCO"),"Maroc",'📋 Inventaire Complet'!M176))</f>
        <v/>
      </c>
    </row>
    <row r="184" spans="22:22" x14ac:dyDescent="0.25">
      <c r="V184" s="20" t="str">
        <f>IF('📋 Inventaire Complet'!M177="","",IF(OR(UPPER('📋 Inventaire Complet'!M177)="MAROC",UPPER('📋 Inventaire Complet'!M177)="MOROCCO"),"Maroc",'📋 Inventaire Complet'!M177))</f>
        <v/>
      </c>
    </row>
    <row r="185" spans="22:22" x14ac:dyDescent="0.25">
      <c r="V185" s="20" t="str">
        <f>IF('📋 Inventaire Complet'!M178="","",IF(OR(UPPER('📋 Inventaire Complet'!M178)="MAROC",UPPER('📋 Inventaire Complet'!M178)="MOROCCO"),"Maroc",'📋 Inventaire Complet'!M178))</f>
        <v/>
      </c>
    </row>
    <row r="186" spans="22:22" x14ac:dyDescent="0.25">
      <c r="V186" s="20" t="str">
        <f>IF('📋 Inventaire Complet'!M179="","",IF(OR(UPPER('📋 Inventaire Complet'!M179)="MAROC",UPPER('📋 Inventaire Complet'!M179)="MOROCCO"),"Maroc",'📋 Inventaire Complet'!M179))</f>
        <v/>
      </c>
    </row>
    <row r="187" spans="22:22" x14ac:dyDescent="0.25">
      <c r="V187" s="20" t="str">
        <f>IF('📋 Inventaire Complet'!M180="","",IF(OR(UPPER('📋 Inventaire Complet'!M180)="MAROC",UPPER('📋 Inventaire Complet'!M180)="MOROCCO"),"Maroc",'📋 Inventaire Complet'!M180))</f>
        <v/>
      </c>
    </row>
    <row r="188" spans="22:22" x14ac:dyDescent="0.25">
      <c r="V188" s="20" t="str">
        <f>IF('📋 Inventaire Complet'!M181="","",IF(OR(UPPER('📋 Inventaire Complet'!M181)="MAROC",UPPER('📋 Inventaire Complet'!M181)="MOROCCO"),"Maroc",'📋 Inventaire Complet'!M181))</f>
        <v>Maroc</v>
      </c>
    </row>
    <row r="189" spans="22:22" x14ac:dyDescent="0.25">
      <c r="V189" s="20" t="str">
        <f>IF('📋 Inventaire Complet'!M182="","",IF(OR(UPPER('📋 Inventaire Complet'!M182)="MAROC",UPPER('📋 Inventaire Complet'!M182)="MOROCCO"),"Maroc",'📋 Inventaire Complet'!M182))</f>
        <v/>
      </c>
    </row>
    <row r="190" spans="22:22" x14ac:dyDescent="0.25">
      <c r="V190" s="20" t="str">
        <f>IF('📋 Inventaire Complet'!M183="","",IF(OR(UPPER('📋 Inventaire Complet'!M183)="MAROC",UPPER('📋 Inventaire Complet'!M183)="MOROCCO"),"Maroc",'📋 Inventaire Complet'!M183))</f>
        <v>Maroc</v>
      </c>
    </row>
    <row r="191" spans="22:22" x14ac:dyDescent="0.25">
      <c r="V191" s="20" t="str">
        <f>IF('📋 Inventaire Complet'!M184="","",IF(OR(UPPER('📋 Inventaire Complet'!M184)="MAROC",UPPER('📋 Inventaire Complet'!M184)="MOROCCO"),"Maroc",'📋 Inventaire Complet'!M184))</f>
        <v/>
      </c>
    </row>
    <row r="192" spans="22:22" x14ac:dyDescent="0.25">
      <c r="V192" s="20" t="str">
        <f>IF('📋 Inventaire Complet'!M185="","",IF(OR(UPPER('📋 Inventaire Complet'!M185)="MAROC",UPPER('📋 Inventaire Complet'!M185)="MOROCCO"),"Maroc",'📋 Inventaire Complet'!M185))</f>
        <v/>
      </c>
    </row>
    <row r="193" spans="22:22" x14ac:dyDescent="0.25">
      <c r="V193" s="20" t="str">
        <f>IF('📋 Inventaire Complet'!M186="","",IF(OR(UPPER('📋 Inventaire Complet'!M186)="MAROC",UPPER('📋 Inventaire Complet'!M186)="MOROCCO"),"Maroc",'📋 Inventaire Complet'!M186))</f>
        <v/>
      </c>
    </row>
    <row r="194" spans="22:22" x14ac:dyDescent="0.25">
      <c r="V194" s="20" t="str">
        <f>IF('📋 Inventaire Complet'!M187="","",IF(OR(UPPER('📋 Inventaire Complet'!M187)="MAROC",UPPER('📋 Inventaire Complet'!M187)="MOROCCO"),"Maroc",'📋 Inventaire Complet'!M187))</f>
        <v/>
      </c>
    </row>
    <row r="195" spans="22:22" x14ac:dyDescent="0.25">
      <c r="V195" s="20" t="str">
        <f>IF('📋 Inventaire Complet'!M188="","",IF(OR(UPPER('📋 Inventaire Complet'!M188)="MAROC",UPPER('📋 Inventaire Complet'!M188)="MOROCCO"),"Maroc",'📋 Inventaire Complet'!M188))</f>
        <v>Maroc</v>
      </c>
    </row>
    <row r="196" spans="22:22" x14ac:dyDescent="0.25">
      <c r="V196" s="20" t="str">
        <f>IF('📋 Inventaire Complet'!M189="","",IF(OR(UPPER('📋 Inventaire Complet'!M189)="MAROC",UPPER('📋 Inventaire Complet'!M189)="MOROCCO"),"Maroc",'📋 Inventaire Complet'!M189))</f>
        <v>Maroc</v>
      </c>
    </row>
    <row r="197" spans="22:22" x14ac:dyDescent="0.25">
      <c r="V197" s="20" t="str">
        <f>IF('📋 Inventaire Complet'!M190="","",IF(OR(UPPER('📋 Inventaire Complet'!M190)="MAROC",UPPER('📋 Inventaire Complet'!M190)="MOROCCO"),"Maroc",'📋 Inventaire Complet'!M190))</f>
        <v>Maroc</v>
      </c>
    </row>
    <row r="198" spans="22:22" x14ac:dyDescent="0.25">
      <c r="V198" s="20" t="str">
        <f>IF('📋 Inventaire Complet'!M191="","",IF(OR(UPPER('📋 Inventaire Complet'!M191)="MAROC",UPPER('📋 Inventaire Complet'!M191)="MOROCCO"),"Maroc",'📋 Inventaire Complet'!M191))</f>
        <v/>
      </c>
    </row>
    <row r="199" spans="22:22" x14ac:dyDescent="0.25">
      <c r="V199" s="20" t="str">
        <f>IF('📋 Inventaire Complet'!M192="","",IF(OR(UPPER('📋 Inventaire Complet'!M192)="MAROC",UPPER('📋 Inventaire Complet'!M192)="MOROCCO"),"Maroc",'📋 Inventaire Complet'!M192))</f>
        <v>Maroc</v>
      </c>
    </row>
    <row r="200" spans="22:22" x14ac:dyDescent="0.25">
      <c r="V200" s="20" t="str">
        <f>IF('📋 Inventaire Complet'!M193="","",IF(OR(UPPER('📋 Inventaire Complet'!M193)="MAROC",UPPER('📋 Inventaire Complet'!M193)="MOROCCO"),"Maroc",'📋 Inventaire Complet'!M193))</f>
        <v/>
      </c>
    </row>
    <row r="201" spans="22:22" x14ac:dyDescent="0.25">
      <c r="V201" s="20" t="str">
        <f>IF('📋 Inventaire Complet'!M194="","",IF(OR(UPPER('📋 Inventaire Complet'!M194)="MAROC",UPPER('📋 Inventaire Complet'!M194)="MOROCCO"),"Maroc",'📋 Inventaire Complet'!M194))</f>
        <v/>
      </c>
    </row>
    <row r="202" spans="22:22" x14ac:dyDescent="0.25">
      <c r="V202" s="20" t="str">
        <f>IF('📋 Inventaire Complet'!M195="","",IF(OR(UPPER('📋 Inventaire Complet'!M195)="MAROC",UPPER('📋 Inventaire Complet'!M195)="MOROCCO"),"Maroc",'📋 Inventaire Complet'!M195))</f>
        <v>Maroc</v>
      </c>
    </row>
    <row r="203" spans="22:22" x14ac:dyDescent="0.25">
      <c r="V203" s="20" t="str">
        <f>IF('📋 Inventaire Complet'!M196="","",IF(OR(UPPER('📋 Inventaire Complet'!M196)="MAROC",UPPER('📋 Inventaire Complet'!M196)="MOROCCO"),"Maroc",'📋 Inventaire Complet'!M196))</f>
        <v/>
      </c>
    </row>
    <row r="204" spans="22:22" x14ac:dyDescent="0.25">
      <c r="V204" s="20" t="str">
        <f>IF('📋 Inventaire Complet'!M197="","",IF(OR(UPPER('📋 Inventaire Complet'!M197)="MAROC",UPPER('📋 Inventaire Complet'!M197)="MOROCCO"),"Maroc",'📋 Inventaire Complet'!M197))</f>
        <v>Maroc</v>
      </c>
    </row>
    <row r="205" spans="22:22" x14ac:dyDescent="0.25">
      <c r="V205" s="20" t="str">
        <f>IF('📋 Inventaire Complet'!M198="","",IF(OR(UPPER('📋 Inventaire Complet'!M198)="MAROC",UPPER('📋 Inventaire Complet'!M198)="MOROCCO"),"Maroc",'📋 Inventaire Complet'!M198))</f>
        <v/>
      </c>
    </row>
    <row r="206" spans="22:22" x14ac:dyDescent="0.25">
      <c r="V206" s="20" t="str">
        <f>IF('📋 Inventaire Complet'!M199="","",IF(OR(UPPER('📋 Inventaire Complet'!M199)="MAROC",UPPER('📋 Inventaire Complet'!M199)="MOROCCO"),"Maroc",'📋 Inventaire Complet'!M199))</f>
        <v/>
      </c>
    </row>
    <row r="207" spans="22:22" x14ac:dyDescent="0.25">
      <c r="V207" s="20" t="str">
        <f>IF('📋 Inventaire Complet'!M200="","",IF(OR(UPPER('📋 Inventaire Complet'!M200)="MAROC",UPPER('📋 Inventaire Complet'!M200)="MOROCCO"),"Maroc",'📋 Inventaire Complet'!M200))</f>
        <v/>
      </c>
    </row>
    <row r="208" spans="22:22" x14ac:dyDescent="0.25">
      <c r="V208" s="20" t="str">
        <f>IF('📋 Inventaire Complet'!M201="","",IF(OR(UPPER('📋 Inventaire Complet'!M201)="MAROC",UPPER('📋 Inventaire Complet'!M201)="MOROCCO"),"Maroc",'📋 Inventaire Complet'!M201))</f>
        <v/>
      </c>
    </row>
    <row r="209" spans="22:22" x14ac:dyDescent="0.25">
      <c r="V209" s="20" t="str">
        <f>IF('📋 Inventaire Complet'!M202="","",IF(OR(UPPER('📋 Inventaire Complet'!M202)="MAROC",UPPER('📋 Inventaire Complet'!M202)="MOROCCO"),"Maroc",'📋 Inventaire Complet'!M202))</f>
        <v/>
      </c>
    </row>
    <row r="210" spans="22:22" x14ac:dyDescent="0.25">
      <c r="V210" s="20" t="str">
        <f>IF('📋 Inventaire Complet'!M203="","",IF(OR(UPPER('📋 Inventaire Complet'!M203)="MAROC",UPPER('📋 Inventaire Complet'!M203)="MOROCCO"),"Maroc",'📋 Inventaire Complet'!M203))</f>
        <v/>
      </c>
    </row>
    <row r="211" spans="22:22" x14ac:dyDescent="0.25">
      <c r="V211" s="20" t="str">
        <f>IF('📋 Inventaire Complet'!M204="","",IF(OR(UPPER('📋 Inventaire Complet'!M204)="MAROC",UPPER('📋 Inventaire Complet'!M204)="MOROCCO"),"Maroc",'📋 Inventaire Complet'!M204))</f>
        <v/>
      </c>
    </row>
    <row r="212" spans="22:22" x14ac:dyDescent="0.25">
      <c r="V212" s="20" t="str">
        <f>IF('📋 Inventaire Complet'!M205="","",IF(OR(UPPER('📋 Inventaire Complet'!M205)="MAROC",UPPER('📋 Inventaire Complet'!M205)="MOROCCO"),"Maroc",'📋 Inventaire Complet'!M205))</f>
        <v/>
      </c>
    </row>
    <row r="213" spans="22:22" x14ac:dyDescent="0.25">
      <c r="V213" s="20" t="str">
        <f>IF('📋 Inventaire Complet'!M206="","",IF(OR(UPPER('📋 Inventaire Complet'!M206)="MAROC",UPPER('📋 Inventaire Complet'!M206)="MOROCCO"),"Maroc",'📋 Inventaire Complet'!M206))</f>
        <v>Maroc</v>
      </c>
    </row>
    <row r="214" spans="22:22" x14ac:dyDescent="0.25">
      <c r="V214" s="20" t="str">
        <f>IF('📋 Inventaire Complet'!M207="","",IF(OR(UPPER('📋 Inventaire Complet'!M207)="MAROC",UPPER('📋 Inventaire Complet'!M207)="MOROCCO"),"Maroc",'📋 Inventaire Complet'!M207))</f>
        <v/>
      </c>
    </row>
    <row r="215" spans="22:22" x14ac:dyDescent="0.25">
      <c r="V215" s="20" t="str">
        <f>IF('📋 Inventaire Complet'!M208="","",IF(OR(UPPER('📋 Inventaire Complet'!M208)="MAROC",UPPER('📋 Inventaire Complet'!M208)="MOROCCO"),"Maroc",'📋 Inventaire Complet'!M208))</f>
        <v/>
      </c>
    </row>
    <row r="216" spans="22:22" x14ac:dyDescent="0.25">
      <c r="V216" s="20" t="str">
        <f>IF('📋 Inventaire Complet'!M209="","",IF(OR(UPPER('📋 Inventaire Complet'!M209)="MAROC",UPPER('📋 Inventaire Complet'!M209)="MOROCCO"),"Maroc",'📋 Inventaire Complet'!M209))</f>
        <v/>
      </c>
    </row>
    <row r="217" spans="22:22" x14ac:dyDescent="0.25">
      <c r="V217" s="20" t="str">
        <f>IF('📋 Inventaire Complet'!M210="","",IF(OR(UPPER('📋 Inventaire Complet'!M210)="MAROC",UPPER('📋 Inventaire Complet'!M210)="MOROCCO"),"Maroc",'📋 Inventaire Complet'!M210))</f>
        <v/>
      </c>
    </row>
    <row r="218" spans="22:22" x14ac:dyDescent="0.25">
      <c r="V218" s="20" t="str">
        <f>IF('📋 Inventaire Complet'!M211="","",IF(OR(UPPER('📋 Inventaire Complet'!M211)="MAROC",UPPER('📋 Inventaire Complet'!M211)="MOROCCO"),"Maroc",'📋 Inventaire Complet'!M211))</f>
        <v/>
      </c>
    </row>
    <row r="219" spans="22:22" x14ac:dyDescent="0.25">
      <c r="V219" s="20" t="str">
        <f>IF('📋 Inventaire Complet'!M212="","",IF(OR(UPPER('📋 Inventaire Complet'!M212)="MAROC",UPPER('📋 Inventaire Complet'!M212)="MOROCCO"),"Maroc",'📋 Inventaire Complet'!M212))</f>
        <v/>
      </c>
    </row>
    <row r="220" spans="22:22" x14ac:dyDescent="0.25">
      <c r="V220" s="20" t="str">
        <f>IF('📋 Inventaire Complet'!M213="","",IF(OR(UPPER('📋 Inventaire Complet'!M213)="MAROC",UPPER('📋 Inventaire Complet'!M213)="MOROCCO"),"Maroc",'📋 Inventaire Complet'!M213))</f>
        <v/>
      </c>
    </row>
    <row r="221" spans="22:22" x14ac:dyDescent="0.25">
      <c r="V221" s="20" t="str">
        <f>IF('📋 Inventaire Complet'!M214="","",IF(OR(UPPER('📋 Inventaire Complet'!M214)="MAROC",UPPER('📋 Inventaire Complet'!M214)="MOROCCO"),"Maroc",'📋 Inventaire Complet'!M214))</f>
        <v/>
      </c>
    </row>
    <row r="222" spans="22:22" x14ac:dyDescent="0.25">
      <c r="V222" s="20" t="str">
        <f>IF('📋 Inventaire Complet'!M215="","",IF(OR(UPPER('📋 Inventaire Complet'!M215)="MAROC",UPPER('📋 Inventaire Complet'!M215)="MOROCCO"),"Maroc",'📋 Inventaire Complet'!M215))</f>
        <v/>
      </c>
    </row>
    <row r="223" spans="22:22" x14ac:dyDescent="0.25">
      <c r="V223" s="20" t="str">
        <f>IF('📋 Inventaire Complet'!M216="","",IF(OR(UPPER('📋 Inventaire Complet'!M216)="MAROC",UPPER('📋 Inventaire Complet'!M216)="MOROCCO"),"Maroc",'📋 Inventaire Complet'!M216))</f>
        <v>Germany</v>
      </c>
    </row>
    <row r="224" spans="22:22" x14ac:dyDescent="0.25">
      <c r="V224" s="20" t="str">
        <f>IF('📋 Inventaire Complet'!M217="","",IF(OR(UPPER('📋 Inventaire Complet'!M217)="MAROC",UPPER('📋 Inventaire Complet'!M217)="MOROCCO"),"Maroc",'📋 Inventaire Complet'!M217))</f>
        <v>Turkey</v>
      </c>
    </row>
    <row r="225" spans="22:22" x14ac:dyDescent="0.25">
      <c r="V225" s="20" t="str">
        <f>IF('📋 Inventaire Complet'!M218="","",IF(OR(UPPER('📋 Inventaire Complet'!M218)="MAROC",UPPER('📋 Inventaire Complet'!M218)="MOROCCO"),"Maroc",'📋 Inventaire Complet'!M218))</f>
        <v>China; EPO; Jordanien; Mexico; WIPO</v>
      </c>
    </row>
    <row r="226" spans="22:22" x14ac:dyDescent="0.25">
      <c r="V226" s="20" t="str">
        <f>IF('📋 Inventaire Complet'!M219="","",IF(OR(UPPER('📋 Inventaire Complet'!M219)="MAROC",UPPER('📋 Inventaire Complet'!M219)="MOROCCO"),"Maroc",'📋 Inventaire Complet'!M219))</f>
        <v>India</v>
      </c>
    </row>
    <row r="227" spans="22:22" x14ac:dyDescent="0.25">
      <c r="V227" s="20" t="str">
        <f>IF('📋 Inventaire Complet'!M220="","",IF(OR(UPPER('📋 Inventaire Complet'!M220)="MAROC",UPPER('📋 Inventaire Complet'!M220)="MOROCCO"),"Maroc",'📋 Inventaire Complet'!M220))</f>
        <v>OAPI</v>
      </c>
    </row>
    <row r="228" spans="22:22" x14ac:dyDescent="0.25">
      <c r="V228" s="20" t="str">
        <f>IF('📋 Inventaire Complet'!M221="","",IF(OR(UPPER('📋 Inventaire Complet'!M221)="MAROC",UPPER('📋 Inventaire Complet'!M221)="MOROCCO"),"Maroc",'📋 Inventaire Complet'!M221))</f>
        <v>France</v>
      </c>
    </row>
    <row r="229" spans="22:22" x14ac:dyDescent="0.25">
      <c r="V229" s="20" t="str">
        <f>IF('📋 Inventaire Complet'!M222="","",IF(OR(UPPER('📋 Inventaire Complet'!M222)="MAROC",UPPER('📋 Inventaire Complet'!M222)="MOROCCO"),"Maroc",'📋 Inventaire Complet'!M222))</f>
        <v/>
      </c>
    </row>
    <row r="230" spans="22:22" x14ac:dyDescent="0.25">
      <c r="V230" s="20" t="str">
        <f>IF('📋 Inventaire Complet'!M223="","",IF(OR(UPPER('📋 Inventaire Complet'!M223)="MAROC",UPPER('📋 Inventaire Complet'!M223)="MOROCCO"),"Maroc",'📋 Inventaire Complet'!M223))</f>
        <v>Maroc</v>
      </c>
    </row>
    <row r="231" spans="22:22" x14ac:dyDescent="0.25">
      <c r="V231" s="20" t="str">
        <f>IF('📋 Inventaire Complet'!M224="","",IF(OR(UPPER('📋 Inventaire Complet'!M224)="MAROC",UPPER('📋 Inventaire Complet'!M224)="MOROCCO"),"Maroc",'📋 Inventaire Complet'!M224))</f>
        <v>Maroc</v>
      </c>
    </row>
    <row r="232" spans="22:22" x14ac:dyDescent="0.25">
      <c r="V232" s="20" t="str">
        <f>IF('📋 Inventaire Complet'!M225="","",IF(OR(UPPER('📋 Inventaire Complet'!M225)="MAROC",UPPER('📋 Inventaire Complet'!M225)="MOROCCO"),"Maroc",'📋 Inventaire Complet'!M225))</f>
        <v>Maroc</v>
      </c>
    </row>
    <row r="233" spans="22:22" x14ac:dyDescent="0.25">
      <c r="V233" s="20" t="str">
        <f>IF('📋 Inventaire Complet'!M226="","",IF(OR(UPPER('📋 Inventaire Complet'!M226)="MAROC",UPPER('📋 Inventaire Complet'!M226)="MOROCCO"),"Maroc",'📋 Inventaire Complet'!M226))</f>
        <v>Maroc</v>
      </c>
    </row>
    <row r="234" spans="22:22" x14ac:dyDescent="0.25">
      <c r="V234" s="20" t="str">
        <f>IF('📋 Inventaire Complet'!M227="","",IF(OR(UPPER('📋 Inventaire Complet'!M227)="MAROC",UPPER('📋 Inventaire Complet'!M227)="MOROCCO"),"Maroc",'📋 Inventaire Complet'!M227))</f>
        <v>Italy</v>
      </c>
    </row>
    <row r="235" spans="22:22" x14ac:dyDescent="0.25">
      <c r="V235" s="20" t="str">
        <f>IF('📋 Inventaire Complet'!M228="","",IF(OR(UPPER('📋 Inventaire Complet'!M228)="MAROC",UPPER('📋 Inventaire Complet'!M228)="MOROCCO"),"Maroc",'📋 Inventaire Complet'!M228))</f>
        <v>Brazil</v>
      </c>
    </row>
    <row r="236" spans="22:22" x14ac:dyDescent="0.25">
      <c r="V236" s="20" t="str">
        <f>IF('📋 Inventaire Complet'!M229="","",IF(OR(UPPER('📋 Inventaire Complet'!M229)="MAROC",UPPER('📋 Inventaire Complet'!M229)="MOROCCO"),"Maroc",'📋 Inventaire Complet'!M229))</f>
        <v>Maroc</v>
      </c>
    </row>
    <row r="237" spans="22:22" x14ac:dyDescent="0.25">
      <c r="V237" s="20" t="str">
        <f>IF('📋 Inventaire Complet'!M230="","",IF(OR(UPPER('📋 Inventaire Complet'!M230)="MAROC",UPPER('📋 Inventaire Complet'!M230)="MOROCCO"),"Maroc",'📋 Inventaire Complet'!M230))</f>
        <v>Netherlands</v>
      </c>
    </row>
    <row r="238" spans="22:22" x14ac:dyDescent="0.25">
      <c r="V238" s="20" t="str">
        <f>IF('📋 Inventaire Complet'!M231="","",IF(OR(UPPER('📋 Inventaire Complet'!M231)="MAROC",UPPER('📋 Inventaire Complet'!M231)="MOROCCO"),"Maroc",'📋 Inventaire Complet'!M231))</f>
        <v>France; Netherlands</v>
      </c>
    </row>
    <row r="239" spans="22:22" x14ac:dyDescent="0.25">
      <c r="V239" s="20" t="str">
        <f>IF('📋 Inventaire Complet'!M232="","",IF(OR(UPPER('📋 Inventaire Complet'!M232)="MAROC",UPPER('📋 Inventaire Complet'!M232)="MOROCCO"),"Maroc",'📋 Inventaire Complet'!M232))</f>
        <v>Maroc</v>
      </c>
    </row>
    <row r="240" spans="22:22" x14ac:dyDescent="0.25">
      <c r="V240" s="20" t="str">
        <f>IF('📋 Inventaire Complet'!M233="","",IF(OR(UPPER('📋 Inventaire Complet'!M233)="MAROC",UPPER('📋 Inventaire Complet'!M233)="MOROCCO"),"Maroc",'📋 Inventaire Complet'!M233))</f>
        <v>India</v>
      </c>
    </row>
    <row r="241" spans="22:22" x14ac:dyDescent="0.25">
      <c r="V241" s="20" t="str">
        <f>IF('📋 Inventaire Complet'!M234="","",IF(OR(UPPER('📋 Inventaire Complet'!M234)="MAROC",UPPER('📋 Inventaire Complet'!M234)="MOROCCO"),"Maroc",'📋 Inventaire Complet'!M234))</f>
        <v>OAPI</v>
      </c>
    </row>
    <row r="242" spans="22:22" x14ac:dyDescent="0.25">
      <c r="V242" s="20" t="str">
        <f>IF('📋 Inventaire Complet'!M235="","",IF(OR(UPPER('📋 Inventaire Complet'!M235)="MAROC",UPPER('📋 Inventaire Complet'!M235)="MOROCCO"),"Maroc",'📋 Inventaire Complet'!M235))</f>
        <v>United States</v>
      </c>
    </row>
    <row r="243" spans="22:22" x14ac:dyDescent="0.25">
      <c r="V243" s="20" t="str">
        <f>IF('📋 Inventaire Complet'!M236="","",IF(OR(UPPER('📋 Inventaire Complet'!M236)="MAROC",UPPER('📋 Inventaire Complet'!M236)="MOROCCO"),"Maroc",'📋 Inventaire Complet'!M236))</f>
        <v>Brazil</v>
      </c>
    </row>
    <row r="244" spans="22:22" x14ac:dyDescent="0.25">
      <c r="V244" s="20" t="str">
        <f>IF('📋 Inventaire Complet'!M237="","",IF(OR(UPPER('📋 Inventaire Complet'!M237)="MAROC",UPPER('📋 Inventaire Complet'!M237)="MOROCCO"),"Maroc",'📋 Inventaire Complet'!M237))</f>
        <v>Maroc</v>
      </c>
    </row>
    <row r="245" spans="22:22" x14ac:dyDescent="0.25">
      <c r="V245" s="20" t="str">
        <f>IF('📋 Inventaire Complet'!M238="","",IF(OR(UPPER('📋 Inventaire Complet'!M238)="MAROC",UPPER('📋 Inventaire Complet'!M238)="MOROCCO"),"Maroc",'📋 Inventaire Complet'!M238))</f>
        <v>Maroc</v>
      </c>
    </row>
    <row r="246" spans="22:22" x14ac:dyDescent="0.25">
      <c r="V246" s="20" t="str">
        <f>IF('📋 Inventaire Complet'!M239="","",IF(OR(UPPER('📋 Inventaire Complet'!M239)="MAROC",UPPER('📋 Inventaire Complet'!M239)="MOROCCO"),"Maroc",'📋 Inventaire Complet'!M239))</f>
        <v>Maroc</v>
      </c>
    </row>
    <row r="247" spans="22:22" x14ac:dyDescent="0.25">
      <c r="V247" s="20" t="str">
        <f>IF('📋 Inventaire Complet'!M240="","",IF(OR(UPPER('📋 Inventaire Complet'!M240)="MAROC",UPPER('📋 Inventaire Complet'!M240)="MOROCCO"),"Maroc",'📋 Inventaire Complet'!M240))</f>
        <v/>
      </c>
    </row>
    <row r="248" spans="22:22" x14ac:dyDescent="0.25">
      <c r="V248" s="20" t="str">
        <f>IF('📋 Inventaire Complet'!M241="","",IF(OR(UPPER('📋 Inventaire Complet'!M241)="MAROC",UPPER('📋 Inventaire Complet'!M241)="MOROCCO"),"Maroc",'📋 Inventaire Complet'!M241))</f>
        <v>Maroc</v>
      </c>
    </row>
    <row r="249" spans="22:22" x14ac:dyDescent="0.25">
      <c r="V249" s="20" t="str">
        <f>IF('📋 Inventaire Complet'!M242="","",IF(OR(UPPER('📋 Inventaire Complet'!M242)="MAROC",UPPER('📋 Inventaire Complet'!M242)="MOROCCO"),"Maroc",'📋 Inventaire Complet'!M242))</f>
        <v/>
      </c>
    </row>
    <row r="250" spans="22:22" x14ac:dyDescent="0.25">
      <c r="V250" s="20" t="str">
        <f>IF('📋 Inventaire Complet'!M243="","",IF(OR(UPPER('📋 Inventaire Complet'!M243)="MAROC",UPPER('📋 Inventaire Complet'!M243)="MOROCCO"),"Maroc",'📋 Inventaire Complet'!M243))</f>
        <v>Maroc</v>
      </c>
    </row>
    <row r="251" spans="22:22" x14ac:dyDescent="0.25">
      <c r="V251" s="20" t="str">
        <f>IF('📋 Inventaire Complet'!M244="","",IF(OR(UPPER('📋 Inventaire Complet'!M244)="MAROC",UPPER('📋 Inventaire Complet'!M244)="MOROCCO"),"Maroc",'📋 Inventaire Complet'!M244))</f>
        <v>Maroc</v>
      </c>
    </row>
    <row r="252" spans="22:22" x14ac:dyDescent="0.25">
      <c r="V252" s="20" t="str">
        <f>IF('📋 Inventaire Complet'!M245="","",IF(OR(UPPER('📋 Inventaire Complet'!M245)="MAROC",UPPER('📋 Inventaire Complet'!M245)="MOROCCO"),"Maroc",'📋 Inventaire Complet'!M245))</f>
        <v>Maroc</v>
      </c>
    </row>
    <row r="253" spans="22:22" x14ac:dyDescent="0.25">
      <c r="V253" s="20" t="str">
        <f>IF('📋 Inventaire Complet'!M246="","",IF(OR(UPPER('📋 Inventaire Complet'!M246)="MAROC",UPPER('📋 Inventaire Complet'!M246)="MOROCCO"),"Maroc",'📋 Inventaire Complet'!M246))</f>
        <v/>
      </c>
    </row>
    <row r="254" spans="22:22" x14ac:dyDescent="0.25">
      <c r="V254" s="20" t="str">
        <f>IF('📋 Inventaire Complet'!M247="","",IF(OR(UPPER('📋 Inventaire Complet'!M247)="MAROC",UPPER('📋 Inventaire Complet'!M247)="MOROCCO"),"Maroc",'📋 Inventaire Complet'!M247))</f>
        <v>Maroc</v>
      </c>
    </row>
    <row r="255" spans="22:22" x14ac:dyDescent="0.25">
      <c r="V255" s="20" t="str">
        <f>IF('📋 Inventaire Complet'!M248="","",IF(OR(UPPER('📋 Inventaire Complet'!M248)="MAROC",UPPER('📋 Inventaire Complet'!M248)="MOROCCO"),"Maroc",'📋 Inventaire Complet'!M248))</f>
        <v/>
      </c>
    </row>
    <row r="256" spans="22:22" x14ac:dyDescent="0.25">
      <c r="V256" s="20" t="str">
        <f>IF('📋 Inventaire Complet'!M249="","",IF(OR(UPPER('📋 Inventaire Complet'!M249)="MAROC",UPPER('📋 Inventaire Complet'!M249)="MOROCCO"),"Maroc",'📋 Inventaire Complet'!M249))</f>
        <v>Spain; United States</v>
      </c>
    </row>
    <row r="257" spans="22:22" x14ac:dyDescent="0.25">
      <c r="V257" s="20" t="str">
        <f>IF('📋 Inventaire Complet'!M250="","",IF(OR(UPPER('📋 Inventaire Complet'!M250)="MAROC",UPPER('📋 Inventaire Complet'!M250)="MOROCCO"),"Maroc",'📋 Inventaire Complet'!M250))</f>
        <v>Belgium; OAPI</v>
      </c>
    </row>
    <row r="258" spans="22:22" x14ac:dyDescent="0.25">
      <c r="V258" s="20" t="str">
        <f>IF('📋 Inventaire Complet'!M251="","",IF(OR(UPPER('📋 Inventaire Complet'!M251)="MAROC",UPPER('📋 Inventaire Complet'!M251)="MOROCCO"),"Maroc",'📋 Inventaire Complet'!M251))</f>
        <v>Saudi Arabia</v>
      </c>
    </row>
    <row r="259" spans="22:22" x14ac:dyDescent="0.25">
      <c r="V259" s="20" t="str">
        <f>IF('📋 Inventaire Complet'!M252="","",IF(OR(UPPER('📋 Inventaire Complet'!M252)="MAROC",UPPER('📋 Inventaire Complet'!M252)="MOROCCO"),"Maroc",'📋 Inventaire Complet'!M252))</f>
        <v/>
      </c>
    </row>
    <row r="260" spans="22:22" x14ac:dyDescent="0.25">
      <c r="V260" s="20" t="str">
        <f>IF('📋 Inventaire Complet'!M253="","",IF(OR(UPPER('📋 Inventaire Complet'!M253)="MAROC",UPPER('📋 Inventaire Complet'!M253)="MOROCCO"),"Maroc",'📋 Inventaire Complet'!M253))</f>
        <v>Maroc</v>
      </c>
    </row>
    <row r="261" spans="22:22" x14ac:dyDescent="0.25">
      <c r="V261" s="20" t="str">
        <f>IF('📋 Inventaire Complet'!M254="","",IF(OR(UPPER('📋 Inventaire Complet'!M254)="MAROC",UPPER('📋 Inventaire Complet'!M254)="MOROCCO"),"Maroc",'📋 Inventaire Complet'!M254))</f>
        <v>Maroc</v>
      </c>
    </row>
    <row r="262" spans="22:22" x14ac:dyDescent="0.25">
      <c r="V262" s="20" t="str">
        <f>IF('📋 Inventaire Complet'!M255="","",IF(OR(UPPER('📋 Inventaire Complet'!M255)="MAROC",UPPER('📋 Inventaire Complet'!M255)="MOROCCO"),"Maroc",'📋 Inventaire Complet'!M255))</f>
        <v>Maroc</v>
      </c>
    </row>
    <row r="263" spans="22:22" x14ac:dyDescent="0.25">
      <c r="V263" s="20" t="str">
        <f>IF('📋 Inventaire Complet'!M256="","",IF(OR(UPPER('📋 Inventaire Complet'!M256)="MAROC",UPPER('📋 Inventaire Complet'!M256)="MOROCCO"),"Maroc",'📋 Inventaire Complet'!M256))</f>
        <v>Maroc</v>
      </c>
    </row>
    <row r="264" spans="22:22" x14ac:dyDescent="0.25">
      <c r="V264" s="20" t="str">
        <f>IF('📋 Inventaire Complet'!M257="","",IF(OR(UPPER('📋 Inventaire Complet'!M257)="MAROC",UPPER('📋 Inventaire Complet'!M257)="MOROCCO"),"Maroc",'📋 Inventaire Complet'!M257))</f>
        <v>Maroc</v>
      </c>
    </row>
    <row r="265" spans="22:22" x14ac:dyDescent="0.25">
      <c r="V265" s="20" t="str">
        <f>IF('📋 Inventaire Complet'!M258="","",IF(OR(UPPER('📋 Inventaire Complet'!M258)="MAROC",UPPER('📋 Inventaire Complet'!M258)="MOROCCO"),"Maroc",'📋 Inventaire Complet'!M258))</f>
        <v>China</v>
      </c>
    </row>
    <row r="266" spans="22:22" x14ac:dyDescent="0.25">
      <c r="V266" s="20" t="str">
        <f>IF('📋 Inventaire Complet'!M259="","",IF(OR(UPPER('📋 Inventaire Complet'!M259)="MAROC",UPPER('📋 Inventaire Complet'!M259)="MOROCCO"),"Maroc",'📋 Inventaire Complet'!M259))</f>
        <v>Australia; Canada; EAPO; EPO; China Hong Kong; Hungary; Israel; India; Mexico; WIPO; Poland; Singapore; United States; South Africa</v>
      </c>
    </row>
    <row r="267" spans="22:22" x14ac:dyDescent="0.25">
      <c r="V267" s="20" t="str">
        <f>IF('📋 Inventaire Complet'!M260="","",IF(OR(UPPER('📋 Inventaire Complet'!M260)="MAROC",UPPER('📋 Inventaire Complet'!M260)="MOROCCO"),"Maroc",'📋 Inventaire Complet'!M260))</f>
        <v>Vietnam</v>
      </c>
    </row>
    <row r="268" spans="22:22" x14ac:dyDescent="0.25">
      <c r="V268" s="20" t="str">
        <f>IF('📋 Inventaire Complet'!M261="","",IF(OR(UPPER('📋 Inventaire Complet'!M261)="MAROC",UPPER('📋 Inventaire Complet'!M261)="MOROCCO"),"Maroc",'📋 Inventaire Complet'!M261))</f>
        <v>Maroc</v>
      </c>
    </row>
    <row r="269" spans="22:22" x14ac:dyDescent="0.25">
      <c r="V269" s="20" t="str">
        <f>IF('📋 Inventaire Complet'!M262="","",IF(OR(UPPER('📋 Inventaire Complet'!M262)="MAROC",UPPER('📋 Inventaire Complet'!M262)="MOROCCO"),"Maroc",'📋 Inventaire Complet'!M262))</f>
        <v>Maroc</v>
      </c>
    </row>
    <row r="270" spans="22:22" x14ac:dyDescent="0.25">
      <c r="V270" s="20" t="str">
        <f>IF('📋 Inventaire Complet'!M263="","",IF(OR(UPPER('📋 Inventaire Complet'!M263)="MAROC",UPPER('📋 Inventaire Complet'!M263)="MOROCCO"),"Maroc",'📋 Inventaire Complet'!M263))</f>
        <v>Maroc</v>
      </c>
    </row>
    <row r="271" spans="22:22" x14ac:dyDescent="0.25">
      <c r="V271" s="20" t="str">
        <f>IF('📋 Inventaire Complet'!M264="","",IF(OR(UPPER('📋 Inventaire Complet'!M264)="MAROC",UPPER('📋 Inventaire Complet'!M264)="MOROCCO"),"Maroc",'📋 Inventaire Complet'!M264))</f>
        <v>France</v>
      </c>
    </row>
    <row r="272" spans="22:22" x14ac:dyDescent="0.25">
      <c r="V272" s="20" t="str">
        <f>IF('📋 Inventaire Complet'!M265="","",IF(OR(UPPER('📋 Inventaire Complet'!M265)="MAROC",UPPER('📋 Inventaire Complet'!M265)="MOROCCO"),"Maroc",'📋 Inventaire Complet'!M265))</f>
        <v>Maroc</v>
      </c>
    </row>
    <row r="273" spans="22:22" x14ac:dyDescent="0.25">
      <c r="V273" s="20" t="str">
        <f>IF('📋 Inventaire Complet'!M266="","",IF(OR(UPPER('📋 Inventaire Complet'!M266)="MAROC",UPPER('📋 Inventaire Complet'!M266)="MOROCCO"),"Maroc",'📋 Inventaire Complet'!M266))</f>
        <v>France</v>
      </c>
    </row>
    <row r="274" spans="22:22" x14ac:dyDescent="0.25">
      <c r="V274" s="20" t="str">
        <f>IF('📋 Inventaire Complet'!M267="","",IF(OR(UPPER('📋 Inventaire Complet'!M267)="MAROC",UPPER('📋 Inventaire Complet'!M267)="MOROCCO"),"Maroc",'📋 Inventaire Complet'!M267))</f>
        <v>Maroc</v>
      </c>
    </row>
    <row r="275" spans="22:22" x14ac:dyDescent="0.25">
      <c r="V275" s="20" t="str">
        <f>IF('📋 Inventaire Complet'!M268="","",IF(OR(UPPER('📋 Inventaire Complet'!M268)="MAROC",UPPER('📋 Inventaire Complet'!M268)="MOROCCO"),"Maroc",'📋 Inventaire Complet'!M268))</f>
        <v>France</v>
      </c>
    </row>
    <row r="276" spans="22:22" x14ac:dyDescent="0.25">
      <c r="V276" s="20" t="str">
        <f>IF('📋 Inventaire Complet'!M269="","",IF(OR(UPPER('📋 Inventaire Complet'!M269)="MAROC",UPPER('📋 Inventaire Complet'!M269)="MOROCCO"),"Maroc",'📋 Inventaire Complet'!M269))</f>
        <v>Italy</v>
      </c>
    </row>
    <row r="277" spans="22:22" x14ac:dyDescent="0.25">
      <c r="V277" s="20" t="str">
        <f>IF('📋 Inventaire Complet'!M270="","",IF(OR(UPPER('📋 Inventaire Complet'!M270)="MAROC",UPPER('📋 Inventaire Complet'!M270)="MOROCCO"),"Maroc",'📋 Inventaire Complet'!M270))</f>
        <v>Greece</v>
      </c>
    </row>
    <row r="278" spans="22:22" x14ac:dyDescent="0.25">
      <c r="V278" s="20" t="str">
        <f>IF('📋 Inventaire Complet'!M271="","",IF(OR(UPPER('📋 Inventaire Complet'!M271)="MAROC",UPPER('📋 Inventaire Complet'!M271)="MOROCCO"),"Maroc",'📋 Inventaire Complet'!M271))</f>
        <v>France</v>
      </c>
    </row>
    <row r="279" spans="22:22" x14ac:dyDescent="0.25">
      <c r="V279" s="20" t="str">
        <f>IF('📋 Inventaire Complet'!M272="","",IF(OR(UPPER('📋 Inventaire Complet'!M272)="MAROC",UPPER('📋 Inventaire Complet'!M272)="MOROCCO"),"Maroc",'📋 Inventaire Complet'!M272))</f>
        <v>Spain; Great Britain</v>
      </c>
    </row>
    <row r="280" spans="22:22" x14ac:dyDescent="0.25">
      <c r="V280" s="20" t="str">
        <f>IF('📋 Inventaire Complet'!M273="","",IF(OR(UPPER('📋 Inventaire Complet'!M273)="MAROC",UPPER('📋 Inventaire Complet'!M273)="MOROCCO"),"Maroc",'📋 Inventaire Complet'!M273))</f>
        <v>Brazil</v>
      </c>
    </row>
    <row r="281" spans="22:22" x14ac:dyDescent="0.25">
      <c r="V281" s="20" t="str">
        <f>IF('📋 Inventaire Complet'!M274="","",IF(OR(UPPER('📋 Inventaire Complet'!M274)="MAROC",UPPER('📋 Inventaire Complet'!M274)="MOROCCO"),"Maroc",'📋 Inventaire Complet'!M274))</f>
        <v>Austria; Germany</v>
      </c>
    </row>
    <row r="282" spans="22:22" x14ac:dyDescent="0.25">
      <c r="V282" s="20" t="str">
        <f>IF('📋 Inventaire Complet'!M275="","",IF(OR(UPPER('📋 Inventaire Complet'!M275)="MAROC",UPPER('📋 Inventaire Complet'!M275)="MOROCCO"),"Maroc",'📋 Inventaire Complet'!M275))</f>
        <v>Germany</v>
      </c>
    </row>
    <row r="283" spans="22:22" x14ac:dyDescent="0.25">
      <c r="V283" s="20" t="str">
        <f>IF('📋 Inventaire Complet'!M276="","",IF(OR(UPPER('📋 Inventaire Complet'!M276)="MAROC",UPPER('📋 Inventaire Complet'!M276)="MOROCCO"),"Maroc",'📋 Inventaire Complet'!M276))</f>
        <v>Germany</v>
      </c>
    </row>
    <row r="284" spans="22:22" x14ac:dyDescent="0.25">
      <c r="V284" s="20" t="str">
        <f>IF('📋 Inventaire Complet'!M277="","",IF(OR(UPPER('📋 Inventaire Complet'!M277)="MAROC",UPPER('📋 Inventaire Complet'!M277)="MOROCCO"),"Maroc",'📋 Inventaire Complet'!M277))</f>
        <v>Maroc</v>
      </c>
    </row>
    <row r="285" spans="22:22" x14ac:dyDescent="0.25">
      <c r="V285" s="20" t="str">
        <f>IF('📋 Inventaire Complet'!M278="","",IF(OR(UPPER('📋 Inventaire Complet'!M278)="MAROC",UPPER('📋 Inventaire Complet'!M278)="MOROCCO"),"Maroc",'📋 Inventaire Complet'!M278))</f>
        <v>Maroc</v>
      </c>
    </row>
    <row r="286" spans="22:22" x14ac:dyDescent="0.25">
      <c r="V286" s="20" t="str">
        <f>IF('📋 Inventaire Complet'!M279="","",IF(OR(UPPER('📋 Inventaire Complet'!M279)="MAROC",UPPER('📋 Inventaire Complet'!M279)="MOROCCO"),"Maroc",'📋 Inventaire Complet'!M279))</f>
        <v/>
      </c>
    </row>
    <row r="287" spans="22:22" x14ac:dyDescent="0.25">
      <c r="V287" s="20" t="str">
        <f>IF('📋 Inventaire Complet'!M280="","",IF(OR(UPPER('📋 Inventaire Complet'!M280)="MAROC",UPPER('📋 Inventaire Complet'!M280)="MOROCCO"),"Maroc",'📋 Inventaire Complet'!M280))</f>
        <v>Switzerland; United States</v>
      </c>
    </row>
    <row r="288" spans="22:22" x14ac:dyDescent="0.25">
      <c r="V288" s="20" t="str">
        <f>IF('📋 Inventaire Complet'!M281="","",IF(OR(UPPER('📋 Inventaire Complet'!M281)="MAROC",UPPER('📋 Inventaire Complet'!M281)="MOROCCO"),"Maroc",'📋 Inventaire Complet'!M281))</f>
        <v>Maroc</v>
      </c>
    </row>
    <row r="289" spans="22:22" x14ac:dyDescent="0.25">
      <c r="V289" s="20" t="str">
        <f>IF('📋 Inventaire Complet'!M282="","",IF(OR(UPPER('📋 Inventaire Complet'!M282)="MAROC",UPPER('📋 Inventaire Complet'!M282)="MOROCCO"),"Maroc",'📋 Inventaire Complet'!M282))</f>
        <v>Maroc</v>
      </c>
    </row>
    <row r="290" spans="22:22" x14ac:dyDescent="0.25">
      <c r="V290" s="20" t="str">
        <f>IF('📋 Inventaire Complet'!M283="","",IF(OR(UPPER('📋 Inventaire Complet'!M283)="MAROC",UPPER('📋 Inventaire Complet'!M283)="MOROCCO"),"Maroc",'📋 Inventaire Complet'!M283))</f>
        <v>Maroc</v>
      </c>
    </row>
    <row r="291" spans="22:22" x14ac:dyDescent="0.25">
      <c r="V291" s="20" t="str">
        <f>IF('📋 Inventaire Complet'!M284="","",IF(OR(UPPER('📋 Inventaire Complet'!M284)="MAROC",UPPER('📋 Inventaire Complet'!M284)="MOROCCO"),"Maroc",'📋 Inventaire Complet'!M284))</f>
        <v>Maroc</v>
      </c>
    </row>
    <row r="292" spans="22:22" x14ac:dyDescent="0.25">
      <c r="V292" s="20" t="str">
        <f>IF('📋 Inventaire Complet'!M285="","",IF(OR(UPPER('📋 Inventaire Complet'!M285)="MAROC",UPPER('📋 Inventaire Complet'!M285)="MOROCCO"),"Maroc",'📋 Inventaire Complet'!M285))</f>
        <v>Maroc</v>
      </c>
    </row>
    <row r="293" spans="22:22" x14ac:dyDescent="0.25">
      <c r="V293" s="20" t="str">
        <f>IF('📋 Inventaire Complet'!M286="","",IF(OR(UPPER('📋 Inventaire Complet'!M286)="MAROC",UPPER('📋 Inventaire Complet'!M286)="MOROCCO"),"Maroc",'📋 Inventaire Complet'!M286))</f>
        <v>France</v>
      </c>
    </row>
    <row r="294" spans="22:22" x14ac:dyDescent="0.25">
      <c r="V294" s="20" t="str">
        <f>IF('📋 Inventaire Complet'!M287="","",IF(OR(UPPER('📋 Inventaire Complet'!M287)="MAROC",UPPER('📋 Inventaire Complet'!M287)="MOROCCO"),"Maroc",'📋 Inventaire Complet'!M287))</f>
        <v>Maroc</v>
      </c>
    </row>
    <row r="295" spans="22:22" x14ac:dyDescent="0.25">
      <c r="V295" s="20" t="str">
        <f>IF('📋 Inventaire Complet'!M288="","",IF(OR(UPPER('📋 Inventaire Complet'!M288)="MAROC",UPPER('📋 Inventaire Complet'!M288)="MOROCCO"),"Maroc",'📋 Inventaire Complet'!M288))</f>
        <v>Great Britain</v>
      </c>
    </row>
    <row r="296" spans="22:22" x14ac:dyDescent="0.25">
      <c r="V296" s="20" t="str">
        <f>IF('📋 Inventaire Complet'!M289="","",IF(OR(UPPER('📋 Inventaire Complet'!M289)="MAROC",UPPER('📋 Inventaire Complet'!M289)="MOROCCO"),"Maroc",'📋 Inventaire Complet'!M289))</f>
        <v>United States</v>
      </c>
    </row>
    <row r="297" spans="22:22" x14ac:dyDescent="0.25">
      <c r="V297" s="20" t="str">
        <f>IF('📋 Inventaire Complet'!M290="","",IF(OR(UPPER('📋 Inventaire Complet'!M290)="MAROC",UPPER('📋 Inventaire Complet'!M290)="MOROCCO"),"Maroc",'📋 Inventaire Complet'!M290))</f>
        <v>United States</v>
      </c>
    </row>
    <row r="298" spans="22:22" x14ac:dyDescent="0.25">
      <c r="V298" s="20" t="str">
        <f>IF('📋 Inventaire Complet'!M291="","",IF(OR(UPPER('📋 Inventaire Complet'!M291)="MAROC",UPPER('📋 Inventaire Complet'!M291)="MOROCCO"),"Maroc",'📋 Inventaire Complet'!M291))</f>
        <v>WIPO</v>
      </c>
    </row>
    <row r="299" spans="22:22" x14ac:dyDescent="0.25">
      <c r="V299" s="20" t="str">
        <f>IF('📋 Inventaire Complet'!M292="","",IF(OR(UPPER('📋 Inventaire Complet'!M292)="MAROC",UPPER('📋 Inventaire Complet'!M292)="MOROCCO"),"Maroc",'📋 Inventaire Complet'!M292))</f>
        <v>United States</v>
      </c>
    </row>
    <row r="300" spans="22:22" x14ac:dyDescent="0.25">
      <c r="V300" s="20" t="str">
        <f>IF('📋 Inventaire Complet'!M293="","",IF(OR(UPPER('📋 Inventaire Complet'!M293)="MAROC",UPPER('📋 Inventaire Complet'!M293)="MOROCCO"),"Maroc",'📋 Inventaire Complet'!M293))</f>
        <v>United States</v>
      </c>
    </row>
    <row r="301" spans="22:22" x14ac:dyDescent="0.25">
      <c r="V301" s="20" t="str">
        <f>IF('📋 Inventaire Complet'!M294="","",IF(OR(UPPER('📋 Inventaire Complet'!M294)="MAROC",UPPER('📋 Inventaire Complet'!M294)="MOROCCO"),"Maroc",'📋 Inventaire Complet'!M294))</f>
        <v>France</v>
      </c>
    </row>
    <row r="302" spans="22:22" x14ac:dyDescent="0.25">
      <c r="V302" s="20" t="str">
        <f>IF('📋 Inventaire Complet'!M295="","",IF(OR(UPPER('📋 Inventaire Complet'!M295)="MAROC",UPPER('📋 Inventaire Complet'!M295)="MOROCCO"),"Maroc",'📋 Inventaire Complet'!M295))</f>
        <v>Great Britain</v>
      </c>
    </row>
    <row r="303" spans="22:22" x14ac:dyDescent="0.25">
      <c r="V303" s="20" t="str">
        <f>IF('📋 Inventaire Complet'!M296="","",IF(OR(UPPER('📋 Inventaire Complet'!M296)="MAROC",UPPER('📋 Inventaire Complet'!M296)="MOROCCO"),"Maroc",'📋 Inventaire Complet'!M296))</f>
        <v>France; OAPI</v>
      </c>
    </row>
    <row r="304" spans="22:22" x14ac:dyDescent="0.25">
      <c r="V304" s="20" t="str">
        <f>IF('📋 Inventaire Complet'!M297="","",IF(OR(UPPER('📋 Inventaire Complet'!M297)="MAROC",UPPER('📋 Inventaire Complet'!M297)="MOROCCO"),"Maroc",'📋 Inventaire Complet'!M297))</f>
        <v>MAROC; OAPI</v>
      </c>
    </row>
    <row r="305" spans="22:22" x14ac:dyDescent="0.25">
      <c r="V305" s="20" t="str">
        <f>IF('📋 Inventaire Complet'!M298="","",IF(OR(UPPER('📋 Inventaire Complet'!M298)="MAROC",UPPER('📋 Inventaire Complet'!M298)="MOROCCO"),"Maroc",'📋 Inventaire Complet'!M298))</f>
        <v>Switzerland</v>
      </c>
    </row>
    <row r="306" spans="22:22" x14ac:dyDescent="0.25">
      <c r="V306" s="20" t="str">
        <f>IF('📋 Inventaire Complet'!M299="","",IF(OR(UPPER('📋 Inventaire Complet'!M299)="MAROC",UPPER('📋 Inventaire Complet'!M299)="MOROCCO"),"Maroc",'📋 Inventaire Complet'!M299))</f>
        <v>Switzerland</v>
      </c>
    </row>
    <row r="307" spans="22:22" x14ac:dyDescent="0.25">
      <c r="V307" s="20" t="str">
        <f>IF('📋 Inventaire Complet'!M300="","",IF(OR(UPPER('📋 Inventaire Complet'!M300)="MAROC",UPPER('📋 Inventaire Complet'!M300)="MOROCCO"),"Maroc",'📋 Inventaire Complet'!M300))</f>
        <v>France</v>
      </c>
    </row>
    <row r="308" spans="22:22" x14ac:dyDescent="0.25">
      <c r="V308" s="20" t="str">
        <f>IF('📋 Inventaire Complet'!M301="","",IF(OR(UPPER('📋 Inventaire Complet'!M301)="MAROC",UPPER('📋 Inventaire Complet'!M301)="MOROCCO"),"Maroc",'📋 Inventaire Complet'!M301))</f>
        <v>France</v>
      </c>
    </row>
    <row r="309" spans="22:22" x14ac:dyDescent="0.25">
      <c r="V309" s="20" t="str">
        <f>IF('📋 Inventaire Complet'!M302="","",IF(OR(UPPER('📋 Inventaire Complet'!M302)="MAROC",UPPER('📋 Inventaire Complet'!M302)="MOROCCO"),"Maroc",'📋 Inventaire Complet'!M302))</f>
        <v/>
      </c>
    </row>
    <row r="310" spans="22:22" x14ac:dyDescent="0.25">
      <c r="V310" s="20" t="str">
        <f>IF('📋 Inventaire Complet'!M303="","",IF(OR(UPPER('📋 Inventaire Complet'!M303)="MAROC",UPPER('📋 Inventaire Complet'!M303)="MOROCCO"),"Maroc",'📋 Inventaire Complet'!M303))</f>
        <v/>
      </c>
    </row>
    <row r="311" spans="22:22" x14ac:dyDescent="0.25">
      <c r="V311" s="20" t="str">
        <f>IF('📋 Inventaire Complet'!M304="","",IF(OR(UPPER('📋 Inventaire Complet'!M304)="MAROC",UPPER('📋 Inventaire Complet'!M304)="MOROCCO"),"Maroc",'📋 Inventaire Complet'!M304))</f>
        <v>Maroc</v>
      </c>
    </row>
    <row r="312" spans="22:22" x14ac:dyDescent="0.25">
      <c r="V312" s="20" t="str">
        <f>IF('📋 Inventaire Complet'!M305="","",IF(OR(UPPER('📋 Inventaire Complet'!M305)="MAROC",UPPER('📋 Inventaire Complet'!M305)="MOROCCO"),"Maroc",'📋 Inventaire Complet'!M305))</f>
        <v/>
      </c>
    </row>
    <row r="313" spans="22:22" x14ac:dyDescent="0.25">
      <c r="V313" s="20" t="str">
        <f>IF('📋 Inventaire Complet'!M306="","",IF(OR(UPPER('📋 Inventaire Complet'!M306)="MAROC",UPPER('📋 Inventaire Complet'!M306)="MOROCCO"),"Maroc",'📋 Inventaire Complet'!M306))</f>
        <v>Maroc</v>
      </c>
    </row>
    <row r="314" spans="22:22" x14ac:dyDescent="0.25">
      <c r="V314" s="20" t="str">
        <f>IF('📋 Inventaire Complet'!M307="","",IF(OR(UPPER('📋 Inventaire Complet'!M307)="MAROC",UPPER('📋 Inventaire Complet'!M307)="MOROCCO"),"Maroc",'📋 Inventaire Complet'!M307))</f>
        <v>Maroc</v>
      </c>
    </row>
    <row r="315" spans="22:22" x14ac:dyDescent="0.25">
      <c r="V315" s="20" t="str">
        <f>IF('📋 Inventaire Complet'!M308="","",IF(OR(UPPER('📋 Inventaire Complet'!M308)="MAROC",UPPER('📋 Inventaire Complet'!M308)="MOROCCO"),"Maroc",'📋 Inventaire Complet'!M308))</f>
        <v/>
      </c>
    </row>
    <row r="316" spans="22:22" x14ac:dyDescent="0.25">
      <c r="V316" s="20" t="str">
        <f>IF('📋 Inventaire Complet'!M309="","",IF(OR(UPPER('📋 Inventaire Complet'!M309)="MAROC",UPPER('📋 Inventaire Complet'!M309)="MOROCCO"),"Maroc",'📋 Inventaire Complet'!M309))</f>
        <v/>
      </c>
    </row>
    <row r="317" spans="22:22" x14ac:dyDescent="0.25">
      <c r="V317" s="20" t="str">
        <f>IF('📋 Inventaire Complet'!M310="","",IF(OR(UPPER('📋 Inventaire Complet'!M310)="MAROC",UPPER('📋 Inventaire Complet'!M310)="MOROCCO"),"Maroc",'📋 Inventaire Complet'!M310))</f>
        <v>Maroc</v>
      </c>
    </row>
    <row r="318" spans="22:22" x14ac:dyDescent="0.25">
      <c r="V318" s="20" t="str">
        <f>IF('📋 Inventaire Complet'!M311="","",IF(OR(UPPER('📋 Inventaire Complet'!M311)="MAROC",UPPER('📋 Inventaire Complet'!M311)="MOROCCO"),"Maroc",'📋 Inventaire Complet'!M311))</f>
        <v>Maroc</v>
      </c>
    </row>
    <row r="319" spans="22:22" x14ac:dyDescent="0.25">
      <c r="V319" s="20" t="str">
        <f>IF('📋 Inventaire Complet'!M312="","",IF(OR(UPPER('📋 Inventaire Complet'!M312)="MAROC",UPPER('📋 Inventaire Complet'!M312)="MOROCCO"),"Maroc",'📋 Inventaire Complet'!M312))</f>
        <v>Maroc</v>
      </c>
    </row>
    <row r="320" spans="22:22" x14ac:dyDescent="0.25">
      <c r="V320" s="20" t="str">
        <f>IF('📋 Inventaire Complet'!M313="","",IF(OR(UPPER('📋 Inventaire Complet'!M313)="MAROC",UPPER('📋 Inventaire Complet'!M313)="MOROCCO"),"Maroc",'📋 Inventaire Complet'!M313))</f>
        <v>Maroc</v>
      </c>
    </row>
    <row r="321" spans="22:22" x14ac:dyDescent="0.25">
      <c r="V321" s="20" t="str">
        <f>IF('📋 Inventaire Complet'!M314="","",IF(OR(UPPER('📋 Inventaire Complet'!M314)="MAROC",UPPER('📋 Inventaire Complet'!M314)="MOROCCO"),"Maroc",'📋 Inventaire Complet'!M314))</f>
        <v>Maroc</v>
      </c>
    </row>
    <row r="322" spans="22:22" x14ac:dyDescent="0.25">
      <c r="V322" s="20" t="str">
        <f>IF('📋 Inventaire Complet'!M315="","",IF(OR(UPPER('📋 Inventaire Complet'!M315)="MAROC",UPPER('📋 Inventaire Complet'!M315)="MOROCCO"),"Maroc",'📋 Inventaire Complet'!M315))</f>
        <v/>
      </c>
    </row>
    <row r="323" spans="22:22" x14ac:dyDescent="0.25">
      <c r="V323" s="20" t="str">
        <f>IF('📋 Inventaire Complet'!M316="","",IF(OR(UPPER('📋 Inventaire Complet'!M316)="MAROC",UPPER('📋 Inventaire Complet'!M316)="MOROCCO"),"Maroc",'📋 Inventaire Complet'!M316))</f>
        <v>Maroc</v>
      </c>
    </row>
    <row r="324" spans="22:22" x14ac:dyDescent="0.25">
      <c r="V324" s="20" t="str">
        <f>IF('📋 Inventaire Complet'!M317="","",IF(OR(UPPER('📋 Inventaire Complet'!M317)="MAROC",UPPER('📋 Inventaire Complet'!M317)="MOROCCO"),"Maroc",'📋 Inventaire Complet'!M317))</f>
        <v>Maroc</v>
      </c>
    </row>
    <row r="325" spans="22:22" x14ac:dyDescent="0.25">
      <c r="V325" s="20" t="str">
        <f>IF('📋 Inventaire Complet'!M318="","",IF(OR(UPPER('📋 Inventaire Complet'!M318)="MAROC",UPPER('📋 Inventaire Complet'!M318)="MOROCCO"),"Maroc",'📋 Inventaire Complet'!M318))</f>
        <v>Maroc</v>
      </c>
    </row>
    <row r="326" spans="22:22" x14ac:dyDescent="0.25">
      <c r="V326" s="20" t="str">
        <f>IF('📋 Inventaire Complet'!M319="","",IF(OR(UPPER('📋 Inventaire Complet'!M319)="MAROC",UPPER('📋 Inventaire Complet'!M319)="MOROCCO"),"Maroc",'📋 Inventaire Complet'!M319))</f>
        <v>Maroc</v>
      </c>
    </row>
    <row r="327" spans="22:22" x14ac:dyDescent="0.25">
      <c r="V327" s="20" t="str">
        <f>IF('📋 Inventaire Complet'!M320="","",IF(OR(UPPER('📋 Inventaire Complet'!M320)="MAROC",UPPER('📋 Inventaire Complet'!M320)="MOROCCO"),"Maroc",'📋 Inventaire Complet'!M320))</f>
        <v/>
      </c>
    </row>
    <row r="328" spans="22:22" x14ac:dyDescent="0.25">
      <c r="V328" s="20" t="str">
        <f>IF('📋 Inventaire Complet'!M321="","",IF(OR(UPPER('📋 Inventaire Complet'!M321)="MAROC",UPPER('📋 Inventaire Complet'!M321)="MOROCCO"),"Maroc",'📋 Inventaire Complet'!M321))</f>
        <v>Maroc</v>
      </c>
    </row>
    <row r="329" spans="22:22" x14ac:dyDescent="0.25">
      <c r="V329" s="20" t="str">
        <f>IF('📋 Inventaire Complet'!M322="","",IF(OR(UPPER('📋 Inventaire Complet'!M322)="MAROC",UPPER('📋 Inventaire Complet'!M322)="MOROCCO"),"Maroc",'📋 Inventaire Complet'!M322))</f>
        <v/>
      </c>
    </row>
    <row r="330" spans="22:22" x14ac:dyDescent="0.25">
      <c r="V330" s="20" t="str">
        <f>IF('📋 Inventaire Complet'!M323="","",IF(OR(UPPER('📋 Inventaire Complet'!M323)="MAROC",UPPER('📋 Inventaire Complet'!M323)="MOROCCO"),"Maroc",'📋 Inventaire Complet'!M323))</f>
        <v/>
      </c>
    </row>
    <row r="331" spans="22:22" x14ac:dyDescent="0.25">
      <c r="V331" s="20" t="str">
        <f>IF('📋 Inventaire Complet'!M324="","",IF(OR(UPPER('📋 Inventaire Complet'!M324)="MAROC",UPPER('📋 Inventaire Complet'!M324)="MOROCCO"),"Maroc",'📋 Inventaire Complet'!M324))</f>
        <v/>
      </c>
    </row>
    <row r="332" spans="22:22" x14ac:dyDescent="0.25">
      <c r="V332" s="20" t="str">
        <f>IF('📋 Inventaire Complet'!M325="","",IF(OR(UPPER('📋 Inventaire Complet'!M325)="MAROC",UPPER('📋 Inventaire Complet'!M325)="MOROCCO"),"Maroc",'📋 Inventaire Complet'!M325))</f>
        <v>Maroc</v>
      </c>
    </row>
    <row r="333" spans="22:22" x14ac:dyDescent="0.25">
      <c r="V333" s="20" t="str">
        <f>IF('📋 Inventaire Complet'!M326="","",IF(OR(UPPER('📋 Inventaire Complet'!M326)="MAROC",UPPER('📋 Inventaire Complet'!M326)="MOROCCO"),"Maroc",'📋 Inventaire Complet'!M326))</f>
        <v/>
      </c>
    </row>
    <row r="334" spans="22:22" x14ac:dyDescent="0.25">
      <c r="V334" s="20" t="str">
        <f>IF('📋 Inventaire Complet'!M327="","",IF(OR(UPPER('📋 Inventaire Complet'!M327)="MAROC",UPPER('📋 Inventaire Complet'!M327)="MOROCCO"),"Maroc",'📋 Inventaire Complet'!M327))</f>
        <v>Maroc</v>
      </c>
    </row>
    <row r="335" spans="22:22" x14ac:dyDescent="0.25">
      <c r="V335" s="20" t="str">
        <f>IF('📋 Inventaire Complet'!M328="","",IF(OR(UPPER('📋 Inventaire Complet'!M328)="MAROC",UPPER('📋 Inventaire Complet'!M328)="MOROCCO"),"Maroc",'📋 Inventaire Complet'!M328))</f>
        <v>Maroc</v>
      </c>
    </row>
    <row r="336" spans="22:22" x14ac:dyDescent="0.25">
      <c r="V336" s="20" t="str">
        <f>IF('📋 Inventaire Complet'!M329="","",IF(OR(UPPER('📋 Inventaire Complet'!M329)="MAROC",UPPER('📋 Inventaire Complet'!M329)="MOROCCO"),"Maroc",'📋 Inventaire Complet'!M329))</f>
        <v>Maroc</v>
      </c>
    </row>
    <row r="337" spans="22:22" x14ac:dyDescent="0.25">
      <c r="V337" s="20" t="str">
        <f>IF('📋 Inventaire Complet'!M330="","",IF(OR(UPPER('📋 Inventaire Complet'!M330)="MAROC",UPPER('📋 Inventaire Complet'!M330)="MOROCCO"),"Maroc",'📋 Inventaire Complet'!M330))</f>
        <v>Maroc</v>
      </c>
    </row>
    <row r="338" spans="22:22" x14ac:dyDescent="0.25">
      <c r="V338" s="20" t="str">
        <f>IF('📋 Inventaire Complet'!M331="","",IF(OR(UPPER('📋 Inventaire Complet'!M331)="MAROC",UPPER('📋 Inventaire Complet'!M331)="MOROCCO"),"Maroc",'📋 Inventaire Complet'!M331))</f>
        <v>Maroc</v>
      </c>
    </row>
    <row r="339" spans="22:22" x14ac:dyDescent="0.25">
      <c r="V339" s="20" t="str">
        <f>IF('📋 Inventaire Complet'!M332="","",IF(OR(UPPER('📋 Inventaire Complet'!M332)="MAROC",UPPER('📋 Inventaire Complet'!M332)="MOROCCO"),"Maroc",'📋 Inventaire Complet'!M332))</f>
        <v>Maroc</v>
      </c>
    </row>
    <row r="340" spans="22:22" x14ac:dyDescent="0.25">
      <c r="V340" s="20" t="str">
        <f>IF('📋 Inventaire Complet'!M333="","",IF(OR(UPPER('📋 Inventaire Complet'!M333)="MAROC",UPPER('📋 Inventaire Complet'!M333)="MOROCCO"),"Maroc",'📋 Inventaire Complet'!M333))</f>
        <v>Maroc</v>
      </c>
    </row>
    <row r="341" spans="22:22" x14ac:dyDescent="0.25">
      <c r="V341" s="20" t="str">
        <f>IF('📋 Inventaire Complet'!M334="","",IF(OR(UPPER('📋 Inventaire Complet'!M334)="MAROC",UPPER('📋 Inventaire Complet'!M334)="MOROCCO"),"Maroc",'📋 Inventaire Complet'!M334))</f>
        <v>Morocco; OAPI</v>
      </c>
    </row>
    <row r="342" spans="22:22" x14ac:dyDescent="0.25">
      <c r="V342" s="20" t="str">
        <f>IF('📋 Inventaire Complet'!M335="","",IF(OR(UPPER('📋 Inventaire Complet'!M335)="MAROC",UPPER('📋 Inventaire Complet'!M335)="MOROCCO"),"Maroc",'📋 Inventaire Complet'!M335))</f>
        <v>Maroc</v>
      </c>
    </row>
    <row r="343" spans="22:22" x14ac:dyDescent="0.25">
      <c r="V343" s="20" t="str">
        <f>IF('📋 Inventaire Complet'!M336="","",IF(OR(UPPER('📋 Inventaire Complet'!M336)="MAROC",UPPER('📋 Inventaire Complet'!M336)="MOROCCO"),"Maroc",'📋 Inventaire Complet'!M336))</f>
        <v>Maroc</v>
      </c>
    </row>
    <row r="344" spans="22:22" x14ac:dyDescent="0.25">
      <c r="V344" s="20" t="str">
        <f>IF('📋 Inventaire Complet'!M337="","",IF(OR(UPPER('📋 Inventaire Complet'!M337)="MAROC",UPPER('📋 Inventaire Complet'!M337)="MOROCCO"),"Maroc",'📋 Inventaire Complet'!M337))</f>
        <v/>
      </c>
    </row>
    <row r="345" spans="22:22" x14ac:dyDescent="0.25">
      <c r="V345" s="20" t="str">
        <f>IF('📋 Inventaire Complet'!M338="","",IF(OR(UPPER('📋 Inventaire Complet'!M338)="MAROC",UPPER('📋 Inventaire Complet'!M338)="MOROCCO"),"Maroc",'📋 Inventaire Complet'!M338))</f>
        <v>Maroc</v>
      </c>
    </row>
    <row r="346" spans="22:22" x14ac:dyDescent="0.25">
      <c r="V346" s="20" t="str">
        <f>IF('📋 Inventaire Complet'!M339="","",IF(OR(UPPER('📋 Inventaire Complet'!M339)="MAROC",UPPER('📋 Inventaire Complet'!M339)="MOROCCO"),"Maroc",'📋 Inventaire Complet'!M339))</f>
        <v>France; Morocco; Tunisia</v>
      </c>
    </row>
    <row r="347" spans="22:22" x14ac:dyDescent="0.25">
      <c r="V347" s="20" t="str">
        <f>IF('📋 Inventaire Complet'!M340="","",IF(OR(UPPER('📋 Inventaire Complet'!M340)="MAROC",UPPER('📋 Inventaire Complet'!M340)="MOROCCO"),"Maroc",'📋 Inventaire Complet'!M340))</f>
        <v>France</v>
      </c>
    </row>
    <row r="348" spans="22:22" x14ac:dyDescent="0.25">
      <c r="V348" s="20" t="str">
        <f>IF('📋 Inventaire Complet'!M341="","",IF(OR(UPPER('📋 Inventaire Complet'!M341)="MAROC",UPPER('📋 Inventaire Complet'!M341)="MOROCCO"),"Maroc",'📋 Inventaire Complet'!M341))</f>
        <v>Maroc</v>
      </c>
    </row>
    <row r="349" spans="22:22" x14ac:dyDescent="0.25">
      <c r="V349" s="20" t="str">
        <f>IF('📋 Inventaire Complet'!M342="","",IF(OR(UPPER('📋 Inventaire Complet'!M342)="MAROC",UPPER('📋 Inventaire Complet'!M342)="MOROCCO"),"Maroc",'📋 Inventaire Complet'!M342))</f>
        <v>Maroc</v>
      </c>
    </row>
    <row r="350" spans="22:22" x14ac:dyDescent="0.25">
      <c r="V350" s="20" t="str">
        <f>IF('📋 Inventaire Complet'!M343="","",IF(OR(UPPER('📋 Inventaire Complet'!M343)="MAROC",UPPER('📋 Inventaire Complet'!M343)="MOROCCO"),"Maroc",'📋 Inventaire Complet'!M343))</f>
        <v>Maroc</v>
      </c>
    </row>
    <row r="351" spans="22:22" x14ac:dyDescent="0.25">
      <c r="V351" s="20" t="str">
        <f>IF('📋 Inventaire Complet'!M344="","",IF(OR(UPPER('📋 Inventaire Complet'!M344)="MAROC",UPPER('📋 Inventaire Complet'!M344)="MOROCCO"),"Maroc",'📋 Inventaire Complet'!M344))</f>
        <v>Maroc</v>
      </c>
    </row>
    <row r="352" spans="22:22" x14ac:dyDescent="0.25">
      <c r="V352" s="20" t="str">
        <f>IF('📋 Inventaire Complet'!M345="","",IF(OR(UPPER('📋 Inventaire Complet'!M345)="MAROC",UPPER('📋 Inventaire Complet'!M345)="MOROCCO"),"Maroc",'📋 Inventaire Complet'!M345))</f>
        <v>Maroc</v>
      </c>
    </row>
    <row r="353" spans="22:22" x14ac:dyDescent="0.25">
      <c r="V353" s="20" t="str">
        <f>IF('📋 Inventaire Complet'!M346="","",IF(OR(UPPER('📋 Inventaire Complet'!M346)="MAROC",UPPER('📋 Inventaire Complet'!M346)="MOROCCO"),"Maroc",'📋 Inventaire Complet'!M346))</f>
        <v>Maroc</v>
      </c>
    </row>
    <row r="354" spans="22:22" x14ac:dyDescent="0.25">
      <c r="V354" s="20" t="str">
        <f>IF('📋 Inventaire Complet'!M347="","",IF(OR(UPPER('📋 Inventaire Complet'!M347)="MAROC",UPPER('📋 Inventaire Complet'!M347)="MOROCCO"),"Maroc",'📋 Inventaire Complet'!M347))</f>
        <v>Maroc</v>
      </c>
    </row>
    <row r="355" spans="22:22" x14ac:dyDescent="0.25">
      <c r="V355" s="20" t="str">
        <f>IF('📋 Inventaire Complet'!M348="","",IF(OR(UPPER('📋 Inventaire Complet'!M348)="MAROC",UPPER('📋 Inventaire Complet'!M348)="MOROCCO"),"Maroc",'📋 Inventaire Complet'!M348))</f>
        <v>Maroc</v>
      </c>
    </row>
    <row r="356" spans="22:22" x14ac:dyDescent="0.25">
      <c r="V356" s="20" t="str">
        <f>IF('📋 Inventaire Complet'!M349="","",IF(OR(UPPER('📋 Inventaire Complet'!M349)="MAROC",UPPER('📋 Inventaire Complet'!M349)="MOROCCO"),"Maroc",'📋 Inventaire Complet'!M349))</f>
        <v>Maroc</v>
      </c>
    </row>
    <row r="357" spans="22:22" x14ac:dyDescent="0.25">
      <c r="V357" s="20" t="str">
        <f>IF('📋 Inventaire Complet'!M350="","",IF(OR(UPPER('📋 Inventaire Complet'!M350)="MAROC",UPPER('📋 Inventaire Complet'!M350)="MOROCCO"),"Maroc",'📋 Inventaire Complet'!M350))</f>
        <v>France</v>
      </c>
    </row>
    <row r="358" spans="22:22" x14ac:dyDescent="0.25">
      <c r="V358" s="20" t="str">
        <f>IF('📋 Inventaire Complet'!M351="","",IF(OR(UPPER('📋 Inventaire Complet'!M351)="MAROC",UPPER('📋 Inventaire Complet'!M351)="MOROCCO"),"Maroc",'📋 Inventaire Complet'!M351))</f>
        <v>Maroc</v>
      </c>
    </row>
    <row r="359" spans="22:22" x14ac:dyDescent="0.25">
      <c r="V359" s="20" t="str">
        <f>IF('📋 Inventaire Complet'!M352="","",IF(OR(UPPER('📋 Inventaire Complet'!M352)="MAROC",UPPER('📋 Inventaire Complet'!M352)="MOROCCO"),"Maroc",'📋 Inventaire Complet'!M352))</f>
        <v/>
      </c>
    </row>
    <row r="360" spans="22:22" x14ac:dyDescent="0.25">
      <c r="V360" s="20" t="str">
        <f>IF('📋 Inventaire Complet'!M353="","",IF(OR(UPPER('📋 Inventaire Complet'!M353)="MAROC",UPPER('📋 Inventaire Complet'!M353)="MOROCCO"),"Maroc",'📋 Inventaire Complet'!M353))</f>
        <v/>
      </c>
    </row>
    <row r="361" spans="22:22" x14ac:dyDescent="0.25">
      <c r="V361" s="20" t="str">
        <f>IF('📋 Inventaire Complet'!M354="","",IF(OR(UPPER('📋 Inventaire Complet'!M354)="MAROC",UPPER('📋 Inventaire Complet'!M354)="MOROCCO"),"Maroc",'📋 Inventaire Complet'!M354))</f>
        <v>Maroc</v>
      </c>
    </row>
    <row r="362" spans="22:22" x14ac:dyDescent="0.25">
      <c r="V362" s="20" t="str">
        <f>IF('📋 Inventaire Complet'!M355="","",IF(OR(UPPER('📋 Inventaire Complet'!M355)="MAROC",UPPER('📋 Inventaire Complet'!M355)="MOROCCO"),"Maroc",'📋 Inventaire Complet'!M355))</f>
        <v>Maroc</v>
      </c>
    </row>
    <row r="363" spans="22:22" x14ac:dyDescent="0.25">
      <c r="V363" s="20" t="str">
        <f>IF('📋 Inventaire Complet'!M356="","",IF(OR(UPPER('📋 Inventaire Complet'!M356)="MAROC",UPPER('📋 Inventaire Complet'!M356)="MOROCCO"),"Maroc",'📋 Inventaire Complet'!M356))</f>
        <v>Maroc</v>
      </c>
    </row>
    <row r="364" spans="22:22" x14ac:dyDescent="0.25">
      <c r="V364" s="20" t="str">
        <f>IF('📋 Inventaire Complet'!M357="","",IF(OR(UPPER('📋 Inventaire Complet'!M357)="MAROC",UPPER('📋 Inventaire Complet'!M357)="MOROCCO"),"Maroc",'📋 Inventaire Complet'!M357))</f>
        <v/>
      </c>
    </row>
    <row r="365" spans="22:22" x14ac:dyDescent="0.25">
      <c r="V365" s="20" t="str">
        <f>IF('📋 Inventaire Complet'!M358="","",IF(OR(UPPER('📋 Inventaire Complet'!M358)="MAROC",UPPER('📋 Inventaire Complet'!M358)="MOROCCO"),"Maroc",'📋 Inventaire Complet'!M358))</f>
        <v>Maroc</v>
      </c>
    </row>
    <row r="366" spans="22:22" x14ac:dyDescent="0.25">
      <c r="V366" s="20" t="str">
        <f>IF('📋 Inventaire Complet'!M359="","",IF(OR(UPPER('📋 Inventaire Complet'!M359)="MAROC",UPPER('📋 Inventaire Complet'!M359)="MOROCCO"),"Maroc",'📋 Inventaire Complet'!M359))</f>
        <v>Maroc</v>
      </c>
    </row>
    <row r="367" spans="22:22" x14ac:dyDescent="0.25">
      <c r="V367" s="20" t="str">
        <f>IF('📋 Inventaire Complet'!M360="","",IF(OR(UPPER('📋 Inventaire Complet'!M360)="MAROC",UPPER('📋 Inventaire Complet'!M360)="MOROCCO"),"Maroc",'📋 Inventaire Complet'!M360))</f>
        <v/>
      </c>
    </row>
    <row r="368" spans="22:22" x14ac:dyDescent="0.25">
      <c r="V368" s="20" t="str">
        <f>IF('📋 Inventaire Complet'!M361="","",IF(OR(UPPER('📋 Inventaire Complet'!M361)="MAROC",UPPER('📋 Inventaire Complet'!M361)="MOROCCO"),"Maroc",'📋 Inventaire Complet'!M361))</f>
        <v/>
      </c>
    </row>
    <row r="369" spans="22:22" x14ac:dyDescent="0.25">
      <c r="V369" s="20" t="str">
        <f>IF('📋 Inventaire Complet'!M362="","",IF(OR(UPPER('📋 Inventaire Complet'!M362)="MAROC",UPPER('📋 Inventaire Complet'!M362)="MOROCCO"),"Maroc",'📋 Inventaire Complet'!M362))</f>
        <v>Maroc</v>
      </c>
    </row>
    <row r="370" spans="22:22" x14ac:dyDescent="0.25">
      <c r="V370" s="20" t="str">
        <f>IF('📋 Inventaire Complet'!M363="","",IF(OR(UPPER('📋 Inventaire Complet'!M363)="MAROC",UPPER('📋 Inventaire Complet'!M363)="MOROCCO"),"Maroc",'📋 Inventaire Complet'!M363))</f>
        <v/>
      </c>
    </row>
    <row r="371" spans="22:22" x14ac:dyDescent="0.25">
      <c r="V371" s="20" t="str">
        <f>IF('📋 Inventaire Complet'!M364="","",IF(OR(UPPER('📋 Inventaire Complet'!M364)="MAROC",UPPER('📋 Inventaire Complet'!M364)="MOROCCO"),"Maroc",'📋 Inventaire Complet'!M364))</f>
        <v>France; OAPI</v>
      </c>
    </row>
    <row r="372" spans="22:22" x14ac:dyDescent="0.25">
      <c r="V372" s="20" t="str">
        <f>IF('📋 Inventaire Complet'!M365="","",IF(OR(UPPER('📋 Inventaire Complet'!M365)="MAROC",UPPER('📋 Inventaire Complet'!M365)="MOROCCO"),"Maroc",'📋 Inventaire Complet'!M365))</f>
        <v>Maroc</v>
      </c>
    </row>
    <row r="373" spans="22:22" x14ac:dyDescent="0.25">
      <c r="V373" s="20" t="str">
        <f>IF('📋 Inventaire Complet'!M366="","",IF(OR(UPPER('📋 Inventaire Complet'!M366)="MAROC",UPPER('📋 Inventaire Complet'!M366)="MOROCCO"),"Maroc",'📋 Inventaire Complet'!M366))</f>
        <v>Maroc</v>
      </c>
    </row>
    <row r="374" spans="22:22" x14ac:dyDescent="0.25">
      <c r="V374" s="20" t="str">
        <f>IF('📋 Inventaire Complet'!M367="","",IF(OR(UPPER('📋 Inventaire Complet'!M367)="MAROC",UPPER('📋 Inventaire Complet'!M367)="MOROCCO"),"Maroc",'📋 Inventaire Complet'!M367))</f>
        <v>Maroc</v>
      </c>
    </row>
    <row r="375" spans="22:22" x14ac:dyDescent="0.25">
      <c r="V375" s="20" t="str">
        <f>IF('📋 Inventaire Complet'!M368="","",IF(OR(UPPER('📋 Inventaire Complet'!M368)="MAROC",UPPER('📋 Inventaire Complet'!M368)="MOROCCO"),"Maroc",'📋 Inventaire Complet'!M368))</f>
        <v>Maroc</v>
      </c>
    </row>
    <row r="376" spans="22:22" x14ac:dyDescent="0.25">
      <c r="V376" s="20" t="str">
        <f>IF('📋 Inventaire Complet'!M369="","",IF(OR(UPPER('📋 Inventaire Complet'!M369)="MAROC",UPPER('📋 Inventaire Complet'!M369)="MOROCCO"),"Maroc",'📋 Inventaire Complet'!M369))</f>
        <v>Maroc</v>
      </c>
    </row>
    <row r="377" spans="22:22" x14ac:dyDescent="0.25">
      <c r="V377" s="20" t="str">
        <f>IF('📋 Inventaire Complet'!M370="","",IF(OR(UPPER('📋 Inventaire Complet'!M370)="MAROC",UPPER('📋 Inventaire Complet'!M370)="MOROCCO"),"Maroc",'📋 Inventaire Complet'!M370))</f>
        <v/>
      </c>
    </row>
    <row r="378" spans="22:22" x14ac:dyDescent="0.25">
      <c r="V378" s="20" t="str">
        <f>IF('📋 Inventaire Complet'!M371="","",IF(OR(UPPER('📋 Inventaire Complet'!M371)="MAROC",UPPER('📋 Inventaire Complet'!M371)="MOROCCO"),"Maroc",'📋 Inventaire Complet'!M371))</f>
        <v/>
      </c>
    </row>
    <row r="379" spans="22:22" x14ac:dyDescent="0.25">
      <c r="V379" s="20" t="str">
        <f>IF('📋 Inventaire Complet'!M372="","",IF(OR(UPPER('📋 Inventaire Complet'!M372)="MAROC",UPPER('📋 Inventaire Complet'!M372)="MOROCCO"),"Maroc",'📋 Inventaire Complet'!M372))</f>
        <v/>
      </c>
    </row>
    <row r="380" spans="22:22" x14ac:dyDescent="0.25">
      <c r="V380" s="20" t="str">
        <f>IF('📋 Inventaire Complet'!M373="","",IF(OR(UPPER('📋 Inventaire Complet'!M373)="MAROC",UPPER('📋 Inventaire Complet'!M373)="MOROCCO"),"Maroc",'📋 Inventaire Complet'!M373))</f>
        <v/>
      </c>
    </row>
    <row r="381" spans="22:22" x14ac:dyDescent="0.25">
      <c r="V381" s="20" t="str">
        <f>IF('📋 Inventaire Complet'!M374="","",IF(OR(UPPER('📋 Inventaire Complet'!M374)="MAROC",UPPER('📋 Inventaire Complet'!M374)="MOROCCO"),"Maroc",'📋 Inventaire Complet'!M374))</f>
        <v/>
      </c>
    </row>
    <row r="382" spans="22:22" x14ac:dyDescent="0.25">
      <c r="V382" s="20" t="str">
        <f>IF('📋 Inventaire Complet'!M375="","",IF(OR(UPPER('📋 Inventaire Complet'!M375)="MAROC",UPPER('📋 Inventaire Complet'!M375)="MOROCCO"),"Maroc",'📋 Inventaire Complet'!M375))</f>
        <v/>
      </c>
    </row>
    <row r="383" spans="22:22" x14ac:dyDescent="0.25">
      <c r="V383" s="20" t="str">
        <f>IF('📋 Inventaire Complet'!M376="","",IF(OR(UPPER('📋 Inventaire Complet'!M376)="MAROC",UPPER('📋 Inventaire Complet'!M376)="MOROCCO"),"Maroc",'📋 Inventaire Complet'!M376))</f>
        <v>Maroc</v>
      </c>
    </row>
    <row r="384" spans="22:22" x14ac:dyDescent="0.25">
      <c r="V384" s="20" t="str">
        <f>IF('📋 Inventaire Complet'!M377="","",IF(OR(UPPER('📋 Inventaire Complet'!M377)="MAROC",UPPER('📋 Inventaire Complet'!M377)="MOROCCO"),"Maroc",'📋 Inventaire Complet'!M377))</f>
        <v>Maroc</v>
      </c>
    </row>
    <row r="385" spans="22:22" x14ac:dyDescent="0.25">
      <c r="V385" s="20" t="str">
        <f>IF('📋 Inventaire Complet'!M378="","",IF(OR(UPPER('📋 Inventaire Complet'!M378)="MAROC",UPPER('📋 Inventaire Complet'!M378)="MOROCCO"),"Maroc",'📋 Inventaire Complet'!M378))</f>
        <v/>
      </c>
    </row>
    <row r="386" spans="22:22" x14ac:dyDescent="0.25">
      <c r="V386" s="20" t="str">
        <f>IF('📋 Inventaire Complet'!M379="","",IF(OR(UPPER('📋 Inventaire Complet'!M379)="MAROC",UPPER('📋 Inventaire Complet'!M379)="MOROCCO"),"Maroc",'📋 Inventaire Complet'!M379))</f>
        <v/>
      </c>
    </row>
    <row r="387" spans="22:22" x14ac:dyDescent="0.25">
      <c r="V387" s="20" t="str">
        <f>IF('📋 Inventaire Complet'!M380="","",IF(OR(UPPER('📋 Inventaire Complet'!M380)="MAROC",UPPER('📋 Inventaire Complet'!M380)="MOROCCO"),"Maroc",'📋 Inventaire Complet'!M380))</f>
        <v/>
      </c>
    </row>
    <row r="388" spans="22:22" x14ac:dyDescent="0.25">
      <c r="V388" s="20" t="str">
        <f>IF('📋 Inventaire Complet'!M381="","",IF(OR(UPPER('📋 Inventaire Complet'!M381)="MAROC",UPPER('📋 Inventaire Complet'!M381)="MOROCCO"),"Maroc",'📋 Inventaire Complet'!M381))</f>
        <v/>
      </c>
    </row>
    <row r="389" spans="22:22" x14ac:dyDescent="0.25">
      <c r="V389" s="20" t="str">
        <f>IF('📋 Inventaire Complet'!M382="","",IF(OR(UPPER('📋 Inventaire Complet'!M382)="MAROC",UPPER('📋 Inventaire Complet'!M382)="MOROCCO"),"Maroc",'📋 Inventaire Complet'!M382))</f>
        <v/>
      </c>
    </row>
    <row r="390" spans="22:22" x14ac:dyDescent="0.25">
      <c r="V390" s="20" t="str">
        <f>IF('📋 Inventaire Complet'!M383="","",IF(OR(UPPER('📋 Inventaire Complet'!M383)="MAROC",UPPER('📋 Inventaire Complet'!M383)="MOROCCO"),"Maroc",'📋 Inventaire Complet'!M383))</f>
        <v/>
      </c>
    </row>
    <row r="391" spans="22:22" x14ac:dyDescent="0.25">
      <c r="V391" s="20" t="str">
        <f>IF('📋 Inventaire Complet'!M384="","",IF(OR(UPPER('📋 Inventaire Complet'!M384)="MAROC",UPPER('📋 Inventaire Complet'!M384)="MOROCCO"),"Maroc",'📋 Inventaire Complet'!M384))</f>
        <v/>
      </c>
    </row>
    <row r="392" spans="22:22" x14ac:dyDescent="0.25">
      <c r="V392" s="20" t="str">
        <f>IF('📋 Inventaire Complet'!M385="","",IF(OR(UPPER('📋 Inventaire Complet'!M385)="MAROC",UPPER('📋 Inventaire Complet'!M385)="MOROCCO"),"Maroc",'📋 Inventaire Complet'!M385))</f>
        <v>Maroc</v>
      </c>
    </row>
    <row r="393" spans="22:22" x14ac:dyDescent="0.25">
      <c r="V393" s="20" t="str">
        <f>IF('📋 Inventaire Complet'!M386="","",IF(OR(UPPER('📋 Inventaire Complet'!M386)="MAROC",UPPER('📋 Inventaire Complet'!M386)="MOROCCO"),"Maroc",'📋 Inventaire Complet'!M386))</f>
        <v/>
      </c>
    </row>
    <row r="394" spans="22:22" x14ac:dyDescent="0.25">
      <c r="V394" s="20" t="str">
        <f>IF('📋 Inventaire Complet'!M387="","",IF(OR(UPPER('📋 Inventaire Complet'!M387)="MAROC",UPPER('📋 Inventaire Complet'!M387)="MOROCCO"),"Maroc",'📋 Inventaire Complet'!M387))</f>
        <v/>
      </c>
    </row>
    <row r="395" spans="22:22" x14ac:dyDescent="0.25">
      <c r="V395" s="20" t="str">
        <f>IF('📋 Inventaire Complet'!M388="","",IF(OR(UPPER('📋 Inventaire Complet'!M388)="MAROC",UPPER('📋 Inventaire Complet'!M388)="MOROCCO"),"Maroc",'📋 Inventaire Complet'!M388))</f>
        <v>Maroc</v>
      </c>
    </row>
    <row r="396" spans="22:22" x14ac:dyDescent="0.25">
      <c r="V396" s="20" t="str">
        <f>IF('📋 Inventaire Complet'!M389="","",IF(OR(UPPER('📋 Inventaire Complet'!M389)="MAROC",UPPER('📋 Inventaire Complet'!M389)="MOROCCO"),"Maroc",'📋 Inventaire Complet'!M389))</f>
        <v>Maroc</v>
      </c>
    </row>
    <row r="397" spans="22:22" x14ac:dyDescent="0.25">
      <c r="V397" s="20" t="str">
        <f>IF('📋 Inventaire Complet'!M390="","",IF(OR(UPPER('📋 Inventaire Complet'!M390)="MAROC",UPPER('📋 Inventaire Complet'!M390)="MOROCCO"),"Maroc",'📋 Inventaire Complet'!M390))</f>
        <v/>
      </c>
    </row>
    <row r="398" spans="22:22" x14ac:dyDescent="0.25">
      <c r="V398" s="20" t="str">
        <f>IF('📋 Inventaire Complet'!M391="","",IF(OR(UPPER('📋 Inventaire Complet'!M391)="MAROC",UPPER('📋 Inventaire Complet'!M391)="MOROCCO"),"Maroc",'📋 Inventaire Complet'!M391))</f>
        <v/>
      </c>
    </row>
    <row r="399" spans="22:22" x14ac:dyDescent="0.25">
      <c r="V399" s="20" t="str">
        <f>IF('📋 Inventaire Complet'!M392="","",IF(OR(UPPER('📋 Inventaire Complet'!M392)="MAROC",UPPER('📋 Inventaire Complet'!M392)="MOROCCO"),"Maroc",'📋 Inventaire Complet'!M392))</f>
        <v/>
      </c>
    </row>
    <row r="400" spans="22:22" x14ac:dyDescent="0.25">
      <c r="V400" s="20" t="str">
        <f>IF('📋 Inventaire Complet'!M393="","",IF(OR(UPPER('📋 Inventaire Complet'!M393)="MAROC",UPPER('📋 Inventaire Complet'!M393)="MOROCCO"),"Maroc",'📋 Inventaire Complet'!M393))</f>
        <v>Maroc</v>
      </c>
    </row>
    <row r="401" spans="22:22" x14ac:dyDescent="0.25">
      <c r="V401" s="20" t="str">
        <f>IF('📋 Inventaire Complet'!M394="","",IF(OR(UPPER('📋 Inventaire Complet'!M394)="MAROC",UPPER('📋 Inventaire Complet'!M394)="MOROCCO"),"Maroc",'📋 Inventaire Complet'!M394))</f>
        <v/>
      </c>
    </row>
    <row r="402" spans="22:22" x14ac:dyDescent="0.25">
      <c r="V402" s="20" t="str">
        <f>IF('📋 Inventaire Complet'!M395="","",IF(OR(UPPER('📋 Inventaire Complet'!M395)="MAROC",UPPER('📋 Inventaire Complet'!M395)="MOROCCO"),"Maroc",'📋 Inventaire Complet'!M395))</f>
        <v/>
      </c>
    </row>
    <row r="403" spans="22:22" x14ac:dyDescent="0.25">
      <c r="V403" s="20" t="str">
        <f>IF('📋 Inventaire Complet'!M396="","",IF(OR(UPPER('📋 Inventaire Complet'!M396)="MAROC",UPPER('📋 Inventaire Complet'!M396)="MOROCCO"),"Maroc",'📋 Inventaire Complet'!M396))</f>
        <v/>
      </c>
    </row>
    <row r="404" spans="22:22" x14ac:dyDescent="0.25">
      <c r="V404" s="20" t="str">
        <f>IF('📋 Inventaire Complet'!M397="","",IF(OR(UPPER('📋 Inventaire Complet'!M397)="MAROC",UPPER('📋 Inventaire Complet'!M397)="MOROCCO"),"Maroc",'📋 Inventaire Complet'!M397))</f>
        <v>Maroc</v>
      </c>
    </row>
    <row r="405" spans="22:22" x14ac:dyDescent="0.25">
      <c r="V405" s="20" t="str">
        <f>IF('📋 Inventaire Complet'!M398="","",IF(OR(UPPER('📋 Inventaire Complet'!M398)="MAROC",UPPER('📋 Inventaire Complet'!M398)="MOROCCO"),"Maroc",'📋 Inventaire Complet'!M398))</f>
        <v/>
      </c>
    </row>
    <row r="406" spans="22:22" x14ac:dyDescent="0.25">
      <c r="V406" s="20" t="str">
        <f>IF('📋 Inventaire Complet'!M399="","",IF(OR(UPPER('📋 Inventaire Complet'!M399)="MAROC",UPPER('📋 Inventaire Complet'!M399)="MOROCCO"),"Maroc",'📋 Inventaire Complet'!M399))</f>
        <v/>
      </c>
    </row>
    <row r="407" spans="22:22" x14ac:dyDescent="0.25">
      <c r="V407" s="20" t="str">
        <f>IF('📋 Inventaire Complet'!M400="","",IF(OR(UPPER('📋 Inventaire Complet'!M400)="MAROC",UPPER('📋 Inventaire Complet'!M400)="MOROCCO"),"Maroc",'📋 Inventaire Complet'!M400))</f>
        <v>Maroc</v>
      </c>
    </row>
    <row r="408" spans="22:22" x14ac:dyDescent="0.25">
      <c r="V408" s="20" t="str">
        <f>IF('📋 Inventaire Complet'!M401="","",IF(OR(UPPER('📋 Inventaire Complet'!M401)="MAROC",UPPER('📋 Inventaire Complet'!M401)="MOROCCO"),"Maroc",'📋 Inventaire Complet'!M401))</f>
        <v>Maroc</v>
      </c>
    </row>
    <row r="409" spans="22:22" x14ac:dyDescent="0.25">
      <c r="V409" s="20" t="str">
        <f>IF('📋 Inventaire Complet'!M402="","",IF(OR(UPPER('📋 Inventaire Complet'!M402)="MAROC",UPPER('📋 Inventaire Complet'!M402)="MOROCCO"),"Maroc",'📋 Inventaire Complet'!M402))</f>
        <v/>
      </c>
    </row>
    <row r="410" spans="22:22" x14ac:dyDescent="0.25">
      <c r="V410" s="20" t="str">
        <f>IF('📋 Inventaire Complet'!M403="","",IF(OR(UPPER('📋 Inventaire Complet'!M403)="MAROC",UPPER('📋 Inventaire Complet'!M403)="MOROCCO"),"Maroc",'📋 Inventaire Complet'!M403))</f>
        <v>Maroc</v>
      </c>
    </row>
    <row r="411" spans="22:22" x14ac:dyDescent="0.25">
      <c r="V411" s="20" t="str">
        <f>IF('📋 Inventaire Complet'!M404="","",IF(OR(UPPER('📋 Inventaire Complet'!M404)="MAROC",UPPER('📋 Inventaire Complet'!M404)="MOROCCO"),"Maroc",'📋 Inventaire Complet'!M404))</f>
        <v/>
      </c>
    </row>
    <row r="412" spans="22:22" x14ac:dyDescent="0.25">
      <c r="V412" s="20" t="str">
        <f>IF('📋 Inventaire Complet'!M405="","",IF(OR(UPPER('📋 Inventaire Complet'!M405)="MAROC",UPPER('📋 Inventaire Complet'!M405)="MOROCCO"),"Maroc",'📋 Inventaire Complet'!M405))</f>
        <v>Maroc</v>
      </c>
    </row>
    <row r="413" spans="22:22" x14ac:dyDescent="0.25">
      <c r="V413" s="20" t="str">
        <f>IF('📋 Inventaire Complet'!M406="","",IF(OR(UPPER('📋 Inventaire Complet'!M406)="MAROC",UPPER('📋 Inventaire Complet'!M406)="MOROCCO"),"Maroc",'📋 Inventaire Complet'!M406))</f>
        <v/>
      </c>
    </row>
    <row r="414" spans="22:22" x14ac:dyDescent="0.25">
      <c r="V414" s="20" t="str">
        <f>IF('📋 Inventaire Complet'!M407="","",IF(OR(UPPER('📋 Inventaire Complet'!M407)="MAROC",UPPER('📋 Inventaire Complet'!M407)="MOROCCO"),"Maroc",'📋 Inventaire Complet'!M407))</f>
        <v/>
      </c>
    </row>
    <row r="415" spans="22:22" x14ac:dyDescent="0.25">
      <c r="V415" s="20" t="str">
        <f>IF('📋 Inventaire Complet'!M408="","",IF(OR(UPPER('📋 Inventaire Complet'!M408)="MAROC",UPPER('📋 Inventaire Complet'!M408)="MOROCCO"),"Maroc",'📋 Inventaire Complet'!M408))</f>
        <v>Maroc</v>
      </c>
    </row>
    <row r="416" spans="22:22" x14ac:dyDescent="0.25">
      <c r="V416" s="20" t="str">
        <f>IF('📋 Inventaire Complet'!M409="","",IF(OR(UPPER('📋 Inventaire Complet'!M409)="MAROC",UPPER('📋 Inventaire Complet'!M409)="MOROCCO"),"Maroc",'📋 Inventaire Complet'!M409))</f>
        <v>Maroc</v>
      </c>
    </row>
    <row r="417" spans="22:22" x14ac:dyDescent="0.25">
      <c r="V417" s="20" t="str">
        <f>IF('📋 Inventaire Complet'!M410="","",IF(OR(UPPER('📋 Inventaire Complet'!M410)="MAROC",UPPER('📋 Inventaire Complet'!M410)="MOROCCO"),"Maroc",'📋 Inventaire Complet'!M410))</f>
        <v/>
      </c>
    </row>
    <row r="418" spans="22:22" x14ac:dyDescent="0.25">
      <c r="V418" s="20" t="str">
        <f>IF('📋 Inventaire Complet'!M411="","",IF(OR(UPPER('📋 Inventaire Complet'!M411)="MAROC",UPPER('📋 Inventaire Complet'!M411)="MOROCCO"),"Maroc",'📋 Inventaire Complet'!M411))</f>
        <v>Maroc</v>
      </c>
    </row>
    <row r="419" spans="22:22" x14ac:dyDescent="0.25">
      <c r="V419" s="20" t="str">
        <f>IF('📋 Inventaire Complet'!M412="","",IF(OR(UPPER('📋 Inventaire Complet'!M412)="MAROC",UPPER('📋 Inventaire Complet'!M412)="MOROCCO"),"Maroc",'📋 Inventaire Complet'!M412))</f>
        <v>Maroc</v>
      </c>
    </row>
    <row r="420" spans="22:22" x14ac:dyDescent="0.25">
      <c r="V420" s="20" t="str">
        <f>IF('📋 Inventaire Complet'!M413="","",IF(OR(UPPER('📋 Inventaire Complet'!M413)="MAROC",UPPER('📋 Inventaire Complet'!M413)="MOROCCO"),"Maroc",'📋 Inventaire Complet'!M413))</f>
        <v/>
      </c>
    </row>
    <row r="421" spans="22:22" x14ac:dyDescent="0.25">
      <c r="V421" s="20" t="str">
        <f>IF('📋 Inventaire Complet'!M414="","",IF(OR(UPPER('📋 Inventaire Complet'!M414)="MAROC",UPPER('📋 Inventaire Complet'!M414)="MOROCCO"),"Maroc",'📋 Inventaire Complet'!M414))</f>
        <v/>
      </c>
    </row>
    <row r="422" spans="22:22" x14ac:dyDescent="0.25">
      <c r="V422" s="20" t="str">
        <f>IF('📋 Inventaire Complet'!M415="","",IF(OR(UPPER('📋 Inventaire Complet'!M415)="MAROC",UPPER('📋 Inventaire Complet'!M415)="MOROCCO"),"Maroc",'📋 Inventaire Complet'!M415))</f>
        <v>Maroc</v>
      </c>
    </row>
    <row r="423" spans="22:22" x14ac:dyDescent="0.25">
      <c r="V423" s="20" t="str">
        <f>IF('📋 Inventaire Complet'!M416="","",IF(OR(UPPER('📋 Inventaire Complet'!M416)="MAROC",UPPER('📋 Inventaire Complet'!M416)="MOROCCO"),"Maroc",'📋 Inventaire Complet'!M416))</f>
        <v>Maroc</v>
      </c>
    </row>
    <row r="424" spans="22:22" x14ac:dyDescent="0.25">
      <c r="V424" s="20" t="str">
        <f>IF('📋 Inventaire Complet'!M417="","",IF(OR(UPPER('📋 Inventaire Complet'!M417)="MAROC",UPPER('📋 Inventaire Complet'!M417)="MOROCCO"),"Maroc",'📋 Inventaire Complet'!M417))</f>
        <v>Maroc</v>
      </c>
    </row>
    <row r="425" spans="22:22" x14ac:dyDescent="0.25">
      <c r="V425" s="20" t="str">
        <f>IF('📋 Inventaire Complet'!M418="","",IF(OR(UPPER('📋 Inventaire Complet'!M418)="MAROC",UPPER('📋 Inventaire Complet'!M418)="MOROCCO"),"Maroc",'📋 Inventaire Complet'!M418))</f>
        <v>Maroc</v>
      </c>
    </row>
    <row r="426" spans="22:22" x14ac:dyDescent="0.25">
      <c r="V426" s="20" t="str">
        <f>IF('📋 Inventaire Complet'!M419="","",IF(OR(UPPER('📋 Inventaire Complet'!M419)="MAROC",UPPER('📋 Inventaire Complet'!M419)="MOROCCO"),"Maroc",'📋 Inventaire Complet'!M419))</f>
        <v/>
      </c>
    </row>
    <row r="427" spans="22:22" x14ac:dyDescent="0.25">
      <c r="V427" s="20" t="str">
        <f>IF('📋 Inventaire Complet'!M420="","",IF(OR(UPPER('📋 Inventaire Complet'!M420)="MAROC",UPPER('📋 Inventaire Complet'!M420)="MOROCCO"),"Maroc",'📋 Inventaire Complet'!M420))</f>
        <v>Maroc</v>
      </c>
    </row>
    <row r="428" spans="22:22" x14ac:dyDescent="0.25">
      <c r="V428" s="20" t="str">
        <f>IF('📋 Inventaire Complet'!M421="","",IF(OR(UPPER('📋 Inventaire Complet'!M421)="MAROC",UPPER('📋 Inventaire Complet'!M421)="MOROCCO"),"Maroc",'📋 Inventaire Complet'!M421))</f>
        <v>Maroc</v>
      </c>
    </row>
    <row r="429" spans="22:22" x14ac:dyDescent="0.25">
      <c r="V429" s="20" t="str">
        <f>IF('📋 Inventaire Complet'!M422="","",IF(OR(UPPER('📋 Inventaire Complet'!M422)="MAROC",UPPER('📋 Inventaire Complet'!M422)="MOROCCO"),"Maroc",'📋 Inventaire Complet'!M422))</f>
        <v>Maroc</v>
      </c>
    </row>
    <row r="430" spans="22:22" x14ac:dyDescent="0.25">
      <c r="V430" s="20" t="str">
        <f>IF('📋 Inventaire Complet'!M423="","",IF(OR(UPPER('📋 Inventaire Complet'!M423)="MAROC",UPPER('📋 Inventaire Complet'!M423)="MOROCCO"),"Maroc",'📋 Inventaire Complet'!M423))</f>
        <v>Maroc</v>
      </c>
    </row>
    <row r="431" spans="22:22" x14ac:dyDescent="0.25">
      <c r="V431" s="20" t="str">
        <f>IF('📋 Inventaire Complet'!M424="","",IF(OR(UPPER('📋 Inventaire Complet'!M424)="MAROC",UPPER('📋 Inventaire Complet'!M424)="MOROCCO"),"Maroc",'📋 Inventaire Complet'!M424))</f>
        <v>Maroc</v>
      </c>
    </row>
    <row r="432" spans="22:22" x14ac:dyDescent="0.25">
      <c r="V432" s="20" t="str">
        <f>IF('📋 Inventaire Complet'!M425="","",IF(OR(UPPER('📋 Inventaire Complet'!M425)="MAROC",UPPER('📋 Inventaire Complet'!M425)="MOROCCO"),"Maroc",'📋 Inventaire Complet'!M425))</f>
        <v>Maroc</v>
      </c>
    </row>
    <row r="433" spans="22:22" x14ac:dyDescent="0.25">
      <c r="V433" s="20" t="str">
        <f>IF('📋 Inventaire Complet'!M426="","",IF(OR(UPPER('📋 Inventaire Complet'!M426)="MAROC",UPPER('📋 Inventaire Complet'!M426)="MOROCCO"),"Maroc",'📋 Inventaire Complet'!M426))</f>
        <v>Maroc</v>
      </c>
    </row>
    <row r="434" spans="22:22" x14ac:dyDescent="0.25">
      <c r="V434" s="20" t="str">
        <f>IF('📋 Inventaire Complet'!M427="","",IF(OR(UPPER('📋 Inventaire Complet'!M427)="MAROC",UPPER('📋 Inventaire Complet'!M427)="MOROCCO"),"Maroc",'📋 Inventaire Complet'!M427))</f>
        <v>Maroc</v>
      </c>
    </row>
    <row r="435" spans="22:22" x14ac:dyDescent="0.25">
      <c r="V435" s="20" t="str">
        <f>IF('📋 Inventaire Complet'!M428="","",IF(OR(UPPER('📋 Inventaire Complet'!M428)="MAROC",UPPER('📋 Inventaire Complet'!M428)="MOROCCO"),"Maroc",'📋 Inventaire Complet'!M428))</f>
        <v>Maroc</v>
      </c>
    </row>
    <row r="436" spans="22:22" x14ac:dyDescent="0.25">
      <c r="V436" s="20" t="str">
        <f>IF('📋 Inventaire Complet'!M429="","",IF(OR(UPPER('📋 Inventaire Complet'!M429)="MAROC",UPPER('📋 Inventaire Complet'!M429)="MOROCCO"),"Maroc",'📋 Inventaire Complet'!M429))</f>
        <v>Israel</v>
      </c>
    </row>
    <row r="437" spans="22:22" x14ac:dyDescent="0.25">
      <c r="V437" s="20" t="str">
        <f>IF('📋 Inventaire Complet'!M430="","",IF(OR(UPPER('📋 Inventaire Complet'!M430)="MAROC",UPPER('📋 Inventaire Complet'!M430)="MOROCCO"),"Maroc",'📋 Inventaire Complet'!M430))</f>
        <v>China; EPO; India; WIPO; United States</v>
      </c>
    </row>
    <row r="438" spans="22:22" x14ac:dyDescent="0.25">
      <c r="V438" s="20" t="str">
        <f>IF('📋 Inventaire Complet'!M431="","",IF(OR(UPPER('📋 Inventaire Complet'!M431)="MAROC",UPPER('📋 Inventaire Complet'!M431)="MOROCCO"),"Maroc",'📋 Inventaire Complet'!M431))</f>
        <v>France</v>
      </c>
    </row>
    <row r="439" spans="22:22" x14ac:dyDescent="0.25">
      <c r="V439" s="20" t="str">
        <f>IF('📋 Inventaire Complet'!M432="","",IF(OR(UPPER('📋 Inventaire Complet'!M432)="MAROC",UPPER('📋 Inventaire Complet'!M432)="MOROCCO"),"Maroc",'📋 Inventaire Complet'!M432))</f>
        <v>Maroc</v>
      </c>
    </row>
    <row r="440" spans="22:22" x14ac:dyDescent="0.25">
      <c r="V440" s="20" t="str">
        <f>IF('📋 Inventaire Complet'!M433="","",IF(OR(UPPER('📋 Inventaire Complet'!M433)="MAROC",UPPER('📋 Inventaire Complet'!M433)="MOROCCO"),"Maroc",'📋 Inventaire Complet'!M433))</f>
        <v>Maroc</v>
      </c>
    </row>
    <row r="441" spans="22:22" x14ac:dyDescent="0.25">
      <c r="V441" s="20" t="str">
        <f>IF('📋 Inventaire Complet'!M434="","",IF(OR(UPPER('📋 Inventaire Complet'!M434)="MAROC",UPPER('📋 Inventaire Complet'!M434)="MOROCCO"),"Maroc",'📋 Inventaire Complet'!M434))</f>
        <v>Maroc</v>
      </c>
    </row>
    <row r="442" spans="22:22" x14ac:dyDescent="0.25">
      <c r="V442" s="20" t="str">
        <f>IF('📋 Inventaire Complet'!M435="","",IF(OR(UPPER('📋 Inventaire Complet'!M435)="MAROC",UPPER('📋 Inventaire Complet'!M435)="MOROCCO"),"Maroc",'📋 Inventaire Complet'!M435))</f>
        <v>Maroc</v>
      </c>
    </row>
    <row r="443" spans="22:22" x14ac:dyDescent="0.25">
      <c r="V443" s="20" t="str">
        <f>IF('📋 Inventaire Complet'!M436="","",IF(OR(UPPER('📋 Inventaire Complet'!M436)="MAROC",UPPER('📋 Inventaire Complet'!M436)="MOROCCO"),"Maroc",'📋 Inventaire Complet'!M436))</f>
        <v/>
      </c>
    </row>
    <row r="444" spans="22:22" x14ac:dyDescent="0.25">
      <c r="V444" s="20" t="str">
        <f>IF('📋 Inventaire Complet'!M437="","",IF(OR(UPPER('📋 Inventaire Complet'!M437)="MAROC",UPPER('📋 Inventaire Complet'!M437)="MOROCCO"),"Maroc",'📋 Inventaire Complet'!M437))</f>
        <v/>
      </c>
    </row>
    <row r="445" spans="22:22" x14ac:dyDescent="0.25">
      <c r="V445" s="20" t="str">
        <f>IF('📋 Inventaire Complet'!M438="","",IF(OR(UPPER('📋 Inventaire Complet'!M438)="MAROC",UPPER('📋 Inventaire Complet'!M438)="MOROCCO"),"Maroc",'📋 Inventaire Complet'!M438))</f>
        <v/>
      </c>
    </row>
    <row r="446" spans="22:22" x14ac:dyDescent="0.25">
      <c r="V446" s="20" t="str">
        <f>IF('📋 Inventaire Complet'!M439="","",IF(OR(UPPER('📋 Inventaire Complet'!M439)="MAROC",UPPER('📋 Inventaire Complet'!M439)="MOROCCO"),"Maroc",'📋 Inventaire Complet'!M439))</f>
        <v/>
      </c>
    </row>
    <row r="447" spans="22:22" x14ac:dyDescent="0.25">
      <c r="V447" s="20" t="str">
        <f>IF('📋 Inventaire Complet'!M440="","",IF(OR(UPPER('📋 Inventaire Complet'!M440)="MAROC",UPPER('📋 Inventaire Complet'!M440)="MOROCCO"),"Maroc",'📋 Inventaire Complet'!M440))</f>
        <v/>
      </c>
    </row>
    <row r="448" spans="22:22" x14ac:dyDescent="0.25">
      <c r="V448" s="20" t="str">
        <f>IF('📋 Inventaire Complet'!M441="","",IF(OR(UPPER('📋 Inventaire Complet'!M441)="MAROC",UPPER('📋 Inventaire Complet'!M441)="MOROCCO"),"Maroc",'📋 Inventaire Complet'!M441))</f>
        <v/>
      </c>
    </row>
    <row r="449" spans="22:22" x14ac:dyDescent="0.25">
      <c r="V449" s="20" t="str">
        <f>IF('📋 Inventaire Complet'!M442="","",IF(OR(UPPER('📋 Inventaire Complet'!M442)="MAROC",UPPER('📋 Inventaire Complet'!M442)="MOROCCO"),"Maroc",'📋 Inventaire Complet'!M442))</f>
        <v/>
      </c>
    </row>
    <row r="450" spans="22:22" x14ac:dyDescent="0.25">
      <c r="V450" s="20" t="str">
        <f>IF('📋 Inventaire Complet'!M443="","",IF(OR(UPPER('📋 Inventaire Complet'!M443)="MAROC",UPPER('📋 Inventaire Complet'!M443)="MOROCCO"),"Maroc",'📋 Inventaire Complet'!M443))</f>
        <v/>
      </c>
    </row>
    <row r="451" spans="22:22" x14ac:dyDescent="0.25">
      <c r="V451" s="20" t="str">
        <f>IF('📋 Inventaire Complet'!M444="","",IF(OR(UPPER('📋 Inventaire Complet'!M444)="MAROC",UPPER('📋 Inventaire Complet'!M444)="MOROCCO"),"Maroc",'📋 Inventaire Complet'!M444))</f>
        <v/>
      </c>
    </row>
    <row r="452" spans="22:22" x14ac:dyDescent="0.25">
      <c r="V452" s="20" t="str">
        <f>IF('📋 Inventaire Complet'!M445="","",IF(OR(UPPER('📋 Inventaire Complet'!M445)="MAROC",UPPER('📋 Inventaire Complet'!M445)="MOROCCO"),"Maroc",'📋 Inventaire Complet'!M445))</f>
        <v/>
      </c>
    </row>
    <row r="453" spans="22:22" x14ac:dyDescent="0.25">
      <c r="V453" s="20" t="str">
        <f>IF('📋 Inventaire Complet'!M446="","",IF(OR(UPPER('📋 Inventaire Complet'!M446)="MAROC",UPPER('📋 Inventaire Complet'!M446)="MOROCCO"),"Maroc",'📋 Inventaire Complet'!M446))</f>
        <v/>
      </c>
    </row>
    <row r="454" spans="22:22" x14ac:dyDescent="0.25">
      <c r="V454" s="20" t="str">
        <f>IF('📋 Inventaire Complet'!M447="","",IF(OR(UPPER('📋 Inventaire Complet'!M447)="MAROC",UPPER('📋 Inventaire Complet'!M447)="MOROCCO"),"Maroc",'📋 Inventaire Complet'!M447))</f>
        <v/>
      </c>
    </row>
    <row r="455" spans="22:22" x14ac:dyDescent="0.25">
      <c r="V455" s="20" t="str">
        <f>IF('📋 Inventaire Complet'!M448="","",IF(OR(UPPER('📋 Inventaire Complet'!M448)="MAROC",UPPER('📋 Inventaire Complet'!M448)="MOROCCO"),"Maroc",'📋 Inventaire Complet'!M448))</f>
        <v/>
      </c>
    </row>
    <row r="456" spans="22:22" x14ac:dyDescent="0.25">
      <c r="V456" s="20" t="str">
        <f>IF('📋 Inventaire Complet'!M449="","",IF(OR(UPPER('📋 Inventaire Complet'!M449)="MAROC",UPPER('📋 Inventaire Complet'!M449)="MOROCCO"),"Maroc",'📋 Inventaire Complet'!M449))</f>
        <v/>
      </c>
    </row>
    <row r="457" spans="22:22" x14ac:dyDescent="0.25">
      <c r="V457" s="20" t="str">
        <f>IF('📋 Inventaire Complet'!M450="","",IF(OR(UPPER('📋 Inventaire Complet'!M450)="MAROC",UPPER('📋 Inventaire Complet'!M450)="MOROCCO"),"Maroc",'📋 Inventaire Complet'!M450))</f>
        <v/>
      </c>
    </row>
    <row r="458" spans="22:22" x14ac:dyDescent="0.25">
      <c r="V458" s="20" t="str">
        <f>IF('📋 Inventaire Complet'!M451="","",IF(OR(UPPER('📋 Inventaire Complet'!M451)="MAROC",UPPER('📋 Inventaire Complet'!M451)="MOROCCO"),"Maroc",'📋 Inventaire Complet'!M451))</f>
        <v/>
      </c>
    </row>
    <row r="459" spans="22:22" x14ac:dyDescent="0.25">
      <c r="V459" s="20" t="str">
        <f>IF('📋 Inventaire Complet'!M452="","",IF(OR(UPPER('📋 Inventaire Complet'!M452)="MAROC",UPPER('📋 Inventaire Complet'!M452)="MOROCCO"),"Maroc",'📋 Inventaire Complet'!M452))</f>
        <v/>
      </c>
    </row>
    <row r="460" spans="22:22" x14ac:dyDescent="0.25">
      <c r="V460" s="20" t="str">
        <f>IF('📋 Inventaire Complet'!M453="","",IF(OR(UPPER('📋 Inventaire Complet'!M453)="MAROC",UPPER('📋 Inventaire Complet'!M453)="MOROCCO"),"Maroc",'📋 Inventaire Complet'!M453))</f>
        <v/>
      </c>
    </row>
    <row r="461" spans="22:22" x14ac:dyDescent="0.25">
      <c r="V461" s="20" t="str">
        <f>IF('📋 Inventaire Complet'!M454="","",IF(OR(UPPER('📋 Inventaire Complet'!M454)="MAROC",UPPER('📋 Inventaire Complet'!M454)="MOROCCO"),"Maroc",'📋 Inventaire Complet'!M454))</f>
        <v/>
      </c>
    </row>
    <row r="462" spans="22:22" x14ac:dyDescent="0.25">
      <c r="V462" s="20" t="str">
        <f>IF('📋 Inventaire Complet'!M455="","",IF(OR(UPPER('📋 Inventaire Complet'!M455)="MAROC",UPPER('📋 Inventaire Complet'!M455)="MOROCCO"),"Maroc",'📋 Inventaire Complet'!M455))</f>
        <v/>
      </c>
    </row>
    <row r="463" spans="22:22" x14ac:dyDescent="0.25">
      <c r="V463" s="20" t="str">
        <f>IF('📋 Inventaire Complet'!M456="","",IF(OR(UPPER('📋 Inventaire Complet'!M456)="MAROC",UPPER('📋 Inventaire Complet'!M456)="MOROCCO"),"Maroc",'📋 Inventaire Complet'!M456))</f>
        <v/>
      </c>
    </row>
    <row r="464" spans="22:22" x14ac:dyDescent="0.25">
      <c r="V464" s="20" t="str">
        <f>IF('📋 Inventaire Complet'!M457="","",IF(OR(UPPER('📋 Inventaire Complet'!M457)="MAROC",UPPER('📋 Inventaire Complet'!M457)="MOROCCO"),"Maroc",'📋 Inventaire Complet'!M457))</f>
        <v/>
      </c>
    </row>
    <row r="465" spans="22:22" x14ac:dyDescent="0.25">
      <c r="V465" s="20" t="str">
        <f>IF('📋 Inventaire Complet'!M458="","",IF(OR(UPPER('📋 Inventaire Complet'!M458)="MAROC",UPPER('📋 Inventaire Complet'!M458)="MOROCCO"),"Maroc",'📋 Inventaire Complet'!M458))</f>
        <v/>
      </c>
    </row>
    <row r="466" spans="22:22" x14ac:dyDescent="0.25">
      <c r="V466" s="20" t="str">
        <f>IF('📋 Inventaire Complet'!M459="","",IF(OR(UPPER('📋 Inventaire Complet'!M459)="MAROC",UPPER('📋 Inventaire Complet'!M459)="MOROCCO"),"Maroc",'📋 Inventaire Complet'!M459))</f>
        <v/>
      </c>
    </row>
    <row r="467" spans="22:22" x14ac:dyDescent="0.25">
      <c r="V467" s="20" t="str">
        <f>IF('📋 Inventaire Complet'!M460="","",IF(OR(UPPER('📋 Inventaire Complet'!M460)="MAROC",UPPER('📋 Inventaire Complet'!M460)="MOROCCO"),"Maroc",'📋 Inventaire Complet'!M460))</f>
        <v/>
      </c>
    </row>
    <row r="468" spans="22:22" x14ac:dyDescent="0.25">
      <c r="V468" s="20" t="str">
        <f>IF('📋 Inventaire Complet'!M461="","",IF(OR(UPPER('📋 Inventaire Complet'!M461)="MAROC",UPPER('📋 Inventaire Complet'!M461)="MOROCCO"),"Maroc",'📋 Inventaire Complet'!M461))</f>
        <v/>
      </c>
    </row>
    <row r="469" spans="22:22" x14ac:dyDescent="0.25">
      <c r="V469" s="20" t="str">
        <f>IF('📋 Inventaire Complet'!M462="","",IF(OR(UPPER('📋 Inventaire Complet'!M462)="MAROC",UPPER('📋 Inventaire Complet'!M462)="MOROCCO"),"Maroc",'📋 Inventaire Complet'!M462))</f>
        <v/>
      </c>
    </row>
    <row r="470" spans="22:22" x14ac:dyDescent="0.25">
      <c r="V470" s="20" t="str">
        <f>IF('📋 Inventaire Complet'!M463="","",IF(OR(UPPER('📋 Inventaire Complet'!M463)="MAROC",UPPER('📋 Inventaire Complet'!M463)="MOROCCO"),"Maroc",'📋 Inventaire Complet'!M463))</f>
        <v/>
      </c>
    </row>
    <row r="471" spans="22:22" x14ac:dyDescent="0.25">
      <c r="V471" s="20" t="str">
        <f>IF('📋 Inventaire Complet'!M464="","",IF(OR(UPPER('📋 Inventaire Complet'!M464)="MAROC",UPPER('📋 Inventaire Complet'!M464)="MOROCCO"),"Maroc",'📋 Inventaire Complet'!M464))</f>
        <v/>
      </c>
    </row>
    <row r="472" spans="22:22" x14ac:dyDescent="0.25">
      <c r="V472" s="20" t="str">
        <f>IF('📋 Inventaire Complet'!M465="","",IF(OR(UPPER('📋 Inventaire Complet'!M465)="MAROC",UPPER('📋 Inventaire Complet'!M465)="MOROCCO"),"Maroc",'📋 Inventaire Complet'!M465))</f>
        <v/>
      </c>
    </row>
    <row r="473" spans="22:22" x14ac:dyDescent="0.25">
      <c r="V473" s="20" t="str">
        <f>IF('📋 Inventaire Complet'!M466="","",IF(OR(UPPER('📋 Inventaire Complet'!M466)="MAROC",UPPER('📋 Inventaire Complet'!M466)="MOROCCO"),"Maroc",'📋 Inventaire Complet'!M466))</f>
        <v/>
      </c>
    </row>
    <row r="474" spans="22:22" x14ac:dyDescent="0.25">
      <c r="V474" s="20" t="str">
        <f>IF('📋 Inventaire Complet'!M467="","",IF(OR(UPPER('📋 Inventaire Complet'!M467)="MAROC",UPPER('📋 Inventaire Complet'!M467)="MOROCCO"),"Maroc",'📋 Inventaire Complet'!M467))</f>
        <v/>
      </c>
    </row>
    <row r="475" spans="22:22" x14ac:dyDescent="0.25">
      <c r="V475" s="20" t="str">
        <f>IF('📋 Inventaire Complet'!M468="","",IF(OR(UPPER('📋 Inventaire Complet'!M468)="MAROC",UPPER('📋 Inventaire Complet'!M468)="MOROCCO"),"Maroc",'📋 Inventaire Complet'!M468))</f>
        <v/>
      </c>
    </row>
    <row r="476" spans="22:22" x14ac:dyDescent="0.25">
      <c r="V476" s="20" t="str">
        <f>IF('📋 Inventaire Complet'!M469="","",IF(OR(UPPER('📋 Inventaire Complet'!M469)="MAROC",UPPER('📋 Inventaire Complet'!M469)="MOROCCO"),"Maroc",'📋 Inventaire Complet'!M469))</f>
        <v/>
      </c>
    </row>
    <row r="477" spans="22:22" x14ac:dyDescent="0.25">
      <c r="V477" s="20" t="str">
        <f>IF('📋 Inventaire Complet'!M470="","",IF(OR(UPPER('📋 Inventaire Complet'!M470)="MAROC",UPPER('📋 Inventaire Complet'!M470)="MOROCCO"),"Maroc",'📋 Inventaire Complet'!M470))</f>
        <v/>
      </c>
    </row>
    <row r="478" spans="22:22" x14ac:dyDescent="0.25">
      <c r="V478" s="20" t="str">
        <f>IF('📋 Inventaire Complet'!M471="","",IF(OR(UPPER('📋 Inventaire Complet'!M471)="MAROC",UPPER('📋 Inventaire Complet'!M471)="MOROCCO"),"Maroc",'📋 Inventaire Complet'!M471))</f>
        <v/>
      </c>
    </row>
    <row r="479" spans="22:22" x14ac:dyDescent="0.25">
      <c r="V479" s="20" t="str">
        <f>IF('📋 Inventaire Complet'!M472="","",IF(OR(UPPER('📋 Inventaire Complet'!M472)="MAROC",UPPER('📋 Inventaire Complet'!M472)="MOROCCO"),"Maroc",'📋 Inventaire Complet'!M472))</f>
        <v/>
      </c>
    </row>
    <row r="480" spans="22:22" x14ac:dyDescent="0.25">
      <c r="V480" s="20" t="str">
        <f>IF('📋 Inventaire Complet'!M473="","",IF(OR(UPPER('📋 Inventaire Complet'!M473)="MAROC",UPPER('📋 Inventaire Complet'!M473)="MOROCCO"),"Maroc",'📋 Inventaire Complet'!M473))</f>
        <v/>
      </c>
    </row>
    <row r="481" spans="22:22" x14ac:dyDescent="0.25">
      <c r="V481" s="20" t="str">
        <f>IF('📋 Inventaire Complet'!M474="","",IF(OR(UPPER('📋 Inventaire Complet'!M474)="MAROC",UPPER('📋 Inventaire Complet'!M474)="MOROCCO"),"Maroc",'📋 Inventaire Complet'!M474))</f>
        <v/>
      </c>
    </row>
    <row r="482" spans="22:22" x14ac:dyDescent="0.25">
      <c r="V482" s="20" t="str">
        <f>IF('📋 Inventaire Complet'!M475="","",IF(OR(UPPER('📋 Inventaire Complet'!M475)="MAROC",UPPER('📋 Inventaire Complet'!M475)="MOROCCO"),"Maroc",'📋 Inventaire Complet'!M475))</f>
        <v/>
      </c>
    </row>
    <row r="483" spans="22:22" x14ac:dyDescent="0.25">
      <c r="V483" s="20" t="str">
        <f>IF('📋 Inventaire Complet'!M476="","",IF(OR(UPPER('📋 Inventaire Complet'!M476)="MAROC",UPPER('📋 Inventaire Complet'!M476)="MOROCCO"),"Maroc",'📋 Inventaire Complet'!M476))</f>
        <v/>
      </c>
    </row>
    <row r="484" spans="22:22" x14ac:dyDescent="0.25">
      <c r="V484" s="20" t="str">
        <f>IF('📋 Inventaire Complet'!M477="","",IF(OR(UPPER('📋 Inventaire Complet'!M477)="MAROC",UPPER('📋 Inventaire Complet'!M477)="MOROCCO"),"Maroc",'📋 Inventaire Complet'!M477))</f>
        <v/>
      </c>
    </row>
    <row r="485" spans="22:22" x14ac:dyDescent="0.25">
      <c r="V485" s="20" t="str">
        <f>IF('📋 Inventaire Complet'!M478="","",IF(OR(UPPER('📋 Inventaire Complet'!M478)="MAROC",UPPER('📋 Inventaire Complet'!M478)="MOROCCO"),"Maroc",'📋 Inventaire Complet'!M478))</f>
        <v/>
      </c>
    </row>
    <row r="486" spans="22:22" x14ac:dyDescent="0.25">
      <c r="V486" s="20" t="str">
        <f>IF('📋 Inventaire Complet'!M479="","",IF(OR(UPPER('📋 Inventaire Complet'!M479)="MAROC",UPPER('📋 Inventaire Complet'!M479)="MOROCCO"),"Maroc",'📋 Inventaire Complet'!M479))</f>
        <v/>
      </c>
    </row>
    <row r="487" spans="22:22" x14ac:dyDescent="0.25">
      <c r="V487" s="20" t="str">
        <f>IF('📋 Inventaire Complet'!M480="","",IF(OR(UPPER('📋 Inventaire Complet'!M480)="MAROC",UPPER('📋 Inventaire Complet'!M480)="MOROCCO"),"Maroc",'📋 Inventaire Complet'!M480))</f>
        <v/>
      </c>
    </row>
    <row r="488" spans="22:22" x14ac:dyDescent="0.25">
      <c r="V488" s="20" t="str">
        <f>IF('📋 Inventaire Complet'!M481="","",IF(OR(UPPER('📋 Inventaire Complet'!M481)="MAROC",UPPER('📋 Inventaire Complet'!M481)="MOROCCO"),"Maroc",'📋 Inventaire Complet'!M481))</f>
        <v/>
      </c>
    </row>
    <row r="489" spans="22:22" x14ac:dyDescent="0.25">
      <c r="V489" s="20" t="str">
        <f>IF('📋 Inventaire Complet'!M482="","",IF(OR(UPPER('📋 Inventaire Complet'!M482)="MAROC",UPPER('📋 Inventaire Complet'!M482)="MOROCCO"),"Maroc",'📋 Inventaire Complet'!M482))</f>
        <v/>
      </c>
    </row>
    <row r="490" spans="22:22" x14ac:dyDescent="0.25">
      <c r="V490" s="20" t="str">
        <f>IF('📋 Inventaire Complet'!M483="","",IF(OR(UPPER('📋 Inventaire Complet'!M483)="MAROC",UPPER('📋 Inventaire Complet'!M483)="MOROCCO"),"Maroc",'📋 Inventaire Complet'!M483))</f>
        <v/>
      </c>
    </row>
    <row r="491" spans="22:22" x14ac:dyDescent="0.25">
      <c r="V491" s="20" t="str">
        <f>IF('📋 Inventaire Complet'!M484="","",IF(OR(UPPER('📋 Inventaire Complet'!M484)="MAROC",UPPER('📋 Inventaire Complet'!M484)="MOROCCO"),"Maroc",'📋 Inventaire Complet'!M484))</f>
        <v/>
      </c>
    </row>
    <row r="492" spans="22:22" x14ac:dyDescent="0.25">
      <c r="V492" s="20" t="str">
        <f>IF('📋 Inventaire Complet'!M485="","",IF(OR(UPPER('📋 Inventaire Complet'!M485)="MAROC",UPPER('📋 Inventaire Complet'!M485)="MOROCCO"),"Maroc",'📋 Inventaire Complet'!M485))</f>
        <v/>
      </c>
    </row>
    <row r="493" spans="22:22" x14ac:dyDescent="0.25">
      <c r="V493" s="20" t="str">
        <f>IF('📋 Inventaire Complet'!M486="","",IF(OR(UPPER('📋 Inventaire Complet'!M486)="MAROC",UPPER('📋 Inventaire Complet'!M486)="MOROCCO"),"Maroc",'📋 Inventaire Complet'!M486))</f>
        <v/>
      </c>
    </row>
    <row r="494" spans="22:22" x14ac:dyDescent="0.25">
      <c r="V494" s="20" t="str">
        <f>IF('📋 Inventaire Complet'!M487="","",IF(OR(UPPER('📋 Inventaire Complet'!M487)="MAROC",UPPER('📋 Inventaire Complet'!M487)="MOROCCO"),"Maroc",'📋 Inventaire Complet'!M487))</f>
        <v/>
      </c>
    </row>
    <row r="495" spans="22:22" x14ac:dyDescent="0.25">
      <c r="V495" s="20" t="str">
        <f>IF('📋 Inventaire Complet'!M488="","",IF(OR(UPPER('📋 Inventaire Complet'!M488)="MAROC",UPPER('📋 Inventaire Complet'!M488)="MOROCCO"),"Maroc",'📋 Inventaire Complet'!M488))</f>
        <v/>
      </c>
    </row>
    <row r="496" spans="22:22" x14ac:dyDescent="0.25">
      <c r="V496" s="20" t="str">
        <f>IF('📋 Inventaire Complet'!M489="","",IF(OR(UPPER('📋 Inventaire Complet'!M489)="MAROC",UPPER('📋 Inventaire Complet'!M489)="MOROCCO"),"Maroc",'📋 Inventaire Complet'!M489))</f>
        <v/>
      </c>
    </row>
    <row r="497" spans="22:22" x14ac:dyDescent="0.25">
      <c r="V497" s="20" t="str">
        <f>IF('📋 Inventaire Complet'!M490="","",IF(OR(UPPER('📋 Inventaire Complet'!M490)="MAROC",UPPER('📋 Inventaire Complet'!M490)="MOROCCO"),"Maroc",'📋 Inventaire Complet'!M490))</f>
        <v/>
      </c>
    </row>
    <row r="498" spans="22:22" x14ac:dyDescent="0.25">
      <c r="V498" s="20" t="str">
        <f>IF('📋 Inventaire Complet'!M491="","",IF(OR(UPPER('📋 Inventaire Complet'!M491)="MAROC",UPPER('📋 Inventaire Complet'!M491)="MOROCCO"),"Maroc",'📋 Inventaire Complet'!M491))</f>
        <v/>
      </c>
    </row>
    <row r="499" spans="22:22" x14ac:dyDescent="0.25">
      <c r="V499" s="20" t="str">
        <f>IF('📋 Inventaire Complet'!M492="","",IF(OR(UPPER('📋 Inventaire Complet'!M492)="MAROC",UPPER('📋 Inventaire Complet'!M492)="MOROCCO"),"Maroc",'📋 Inventaire Complet'!M492))</f>
        <v/>
      </c>
    </row>
    <row r="500" spans="22:22" x14ac:dyDescent="0.25">
      <c r="V500" s="20" t="str">
        <f>IF('📋 Inventaire Complet'!M493="","",IF(OR(UPPER('📋 Inventaire Complet'!M493)="MAROC",UPPER('📋 Inventaire Complet'!M493)="MOROCCO"),"Maroc",'📋 Inventaire Complet'!M493))</f>
        <v/>
      </c>
    </row>
    <row r="501" spans="22:22" x14ac:dyDescent="0.25">
      <c r="V501" s="20" t="str">
        <f>IF('📋 Inventaire Complet'!M494="","",IF(OR(UPPER('📋 Inventaire Complet'!M494)="MAROC",UPPER('📋 Inventaire Complet'!M494)="MOROCCO"),"Maroc",'📋 Inventaire Complet'!M494))</f>
        <v/>
      </c>
    </row>
    <row r="502" spans="22:22" x14ac:dyDescent="0.25">
      <c r="V502" s="20" t="str">
        <f>IF('📋 Inventaire Complet'!M495="","",IF(OR(UPPER('📋 Inventaire Complet'!M495)="MAROC",UPPER('📋 Inventaire Complet'!M495)="MOROCCO"),"Maroc",'📋 Inventaire Complet'!M495))</f>
        <v/>
      </c>
    </row>
    <row r="503" spans="22:22" x14ac:dyDescent="0.25">
      <c r="V503" s="20" t="str">
        <f>IF('📋 Inventaire Complet'!M496="","",IF(OR(UPPER('📋 Inventaire Complet'!M496)="MAROC",UPPER('📋 Inventaire Complet'!M496)="MOROCCO"),"Maroc",'📋 Inventaire Complet'!M496))</f>
        <v/>
      </c>
    </row>
    <row r="504" spans="22:22" x14ac:dyDescent="0.25">
      <c r="V504" s="20" t="str">
        <f>IF('📋 Inventaire Complet'!M497="","",IF(OR(UPPER('📋 Inventaire Complet'!M497)="MAROC",UPPER('📋 Inventaire Complet'!M497)="MOROCCO"),"Maroc",'📋 Inventaire Complet'!M497))</f>
        <v/>
      </c>
    </row>
    <row r="505" spans="22:22" x14ac:dyDescent="0.25">
      <c r="V505" s="20" t="str">
        <f>IF('📋 Inventaire Complet'!M498="","",IF(OR(UPPER('📋 Inventaire Complet'!M498)="MAROC",UPPER('📋 Inventaire Complet'!M498)="MOROCCO"),"Maroc",'📋 Inventaire Complet'!M498))</f>
        <v/>
      </c>
    </row>
    <row r="506" spans="22:22" x14ac:dyDescent="0.25">
      <c r="V506" s="20" t="str">
        <f>IF('📋 Inventaire Complet'!M499="","",IF(OR(UPPER('📋 Inventaire Complet'!M499)="MAROC",UPPER('📋 Inventaire Complet'!M499)="MOROCCO"),"Maroc",'📋 Inventaire Complet'!M499))</f>
        <v/>
      </c>
    </row>
    <row r="507" spans="22:22" x14ac:dyDescent="0.25">
      <c r="V507" s="20" t="str">
        <f>IF('📋 Inventaire Complet'!M500="","",IF(OR(UPPER('📋 Inventaire Complet'!M500)="MAROC",UPPER('📋 Inventaire Complet'!M500)="MOROCCO"),"Maroc",'📋 Inventaire Complet'!M500))</f>
        <v/>
      </c>
    </row>
    <row r="508" spans="22:22" x14ac:dyDescent="0.25">
      <c r="V508" s="20" t="str">
        <f>IF('📋 Inventaire Complet'!M501="","",IF(OR(UPPER('📋 Inventaire Complet'!M501)="MAROC",UPPER('📋 Inventaire Complet'!M501)="MOROCCO"),"Maroc",'📋 Inventaire Complet'!M501))</f>
        <v/>
      </c>
    </row>
    <row r="509" spans="22:22" x14ac:dyDescent="0.25">
      <c r="V509" s="20" t="str">
        <f>IF('📋 Inventaire Complet'!M502="","",IF(OR(UPPER('📋 Inventaire Complet'!M502)="MAROC",UPPER('📋 Inventaire Complet'!M502)="MOROCCO"),"Maroc",'📋 Inventaire Complet'!M502))</f>
        <v/>
      </c>
    </row>
    <row r="510" spans="22:22" x14ac:dyDescent="0.25">
      <c r="V510" s="20" t="str">
        <f>IF('📋 Inventaire Complet'!M503="","",IF(OR(UPPER('📋 Inventaire Complet'!M503)="MAROC",UPPER('📋 Inventaire Complet'!M503)="MOROCCO"),"Maroc",'📋 Inventaire Complet'!M503))</f>
        <v/>
      </c>
    </row>
    <row r="511" spans="22:22" x14ac:dyDescent="0.25">
      <c r="V511" s="20" t="str">
        <f>IF('📋 Inventaire Complet'!M504="","",IF(OR(UPPER('📋 Inventaire Complet'!M504)="MAROC",UPPER('📋 Inventaire Complet'!M504)="MOROCCO"),"Maroc",'📋 Inventaire Complet'!M504))</f>
        <v/>
      </c>
    </row>
    <row r="512" spans="22:22" x14ac:dyDescent="0.25">
      <c r="V512" s="20" t="str">
        <f>IF('📋 Inventaire Complet'!M505="","",IF(OR(UPPER('📋 Inventaire Complet'!M505)="MAROC",UPPER('📋 Inventaire Complet'!M505)="MOROCCO"),"Maroc",'📋 Inventaire Complet'!M505))</f>
        <v/>
      </c>
    </row>
    <row r="513" spans="22:22" x14ac:dyDescent="0.25">
      <c r="V513" s="20" t="str">
        <f>IF('📋 Inventaire Complet'!M506="","",IF(OR(UPPER('📋 Inventaire Complet'!M506)="MAROC",UPPER('📋 Inventaire Complet'!M506)="MOROCCO"),"Maroc",'📋 Inventaire Complet'!M506))</f>
        <v/>
      </c>
    </row>
    <row r="514" spans="22:22" x14ac:dyDescent="0.25">
      <c r="V514" s="20" t="str">
        <f>IF('📋 Inventaire Complet'!M507="","",IF(OR(UPPER('📋 Inventaire Complet'!M507)="MAROC",UPPER('📋 Inventaire Complet'!M507)="MOROCCO"),"Maroc",'📋 Inventaire Complet'!M507))</f>
        <v/>
      </c>
    </row>
    <row r="515" spans="22:22" x14ac:dyDescent="0.25">
      <c r="V515" s="20" t="str">
        <f>IF('📋 Inventaire Complet'!M508="","",IF(OR(UPPER('📋 Inventaire Complet'!M508)="MAROC",UPPER('📋 Inventaire Complet'!M508)="MOROCCO"),"Maroc",'📋 Inventaire Complet'!M508))</f>
        <v/>
      </c>
    </row>
    <row r="516" spans="22:22" x14ac:dyDescent="0.25">
      <c r="V516" s="20" t="str">
        <f>IF('📋 Inventaire Complet'!M509="","",IF(OR(UPPER('📋 Inventaire Complet'!M509)="MAROC",UPPER('📋 Inventaire Complet'!M509)="MOROCCO"),"Maroc",'📋 Inventaire Complet'!M509))</f>
        <v/>
      </c>
    </row>
    <row r="517" spans="22:22" x14ac:dyDescent="0.25">
      <c r="V517" s="20" t="str">
        <f>IF('📋 Inventaire Complet'!M510="","",IF(OR(UPPER('📋 Inventaire Complet'!M510)="MAROC",UPPER('📋 Inventaire Complet'!M510)="MOROCCO"),"Maroc",'📋 Inventaire Complet'!M510))</f>
        <v/>
      </c>
    </row>
    <row r="518" spans="22:22" x14ac:dyDescent="0.25">
      <c r="V518" s="20" t="str">
        <f>IF('📋 Inventaire Complet'!M511="","",IF(OR(UPPER('📋 Inventaire Complet'!M511)="MAROC",UPPER('📋 Inventaire Complet'!M511)="MOROCCO"),"Maroc",'📋 Inventaire Complet'!M511))</f>
        <v/>
      </c>
    </row>
    <row r="519" spans="22:22" x14ac:dyDescent="0.25">
      <c r="V519" s="20" t="str">
        <f>IF('📋 Inventaire Complet'!M512="","",IF(OR(UPPER('📋 Inventaire Complet'!M512)="MAROC",UPPER('📋 Inventaire Complet'!M512)="MOROCCO"),"Maroc",'📋 Inventaire Complet'!M512))</f>
        <v/>
      </c>
    </row>
    <row r="520" spans="22:22" x14ac:dyDescent="0.25">
      <c r="V520" s="20" t="str">
        <f>IF('📋 Inventaire Complet'!M513="","",IF(OR(UPPER('📋 Inventaire Complet'!M513)="MAROC",UPPER('📋 Inventaire Complet'!M513)="MOROCCO"),"Maroc",'📋 Inventaire Complet'!M513))</f>
        <v/>
      </c>
    </row>
    <row r="521" spans="22:22" x14ac:dyDescent="0.25">
      <c r="V521" s="20" t="str">
        <f>IF('📋 Inventaire Complet'!M514="","",IF(OR(UPPER('📋 Inventaire Complet'!M514)="MAROC",UPPER('📋 Inventaire Complet'!M514)="MOROCCO"),"Maroc",'📋 Inventaire Complet'!M514))</f>
        <v/>
      </c>
    </row>
    <row r="522" spans="22:22" x14ac:dyDescent="0.25">
      <c r="V522" s="20" t="str">
        <f>IF('📋 Inventaire Complet'!M515="","",IF(OR(UPPER('📋 Inventaire Complet'!M515)="MAROC",UPPER('📋 Inventaire Complet'!M515)="MOROCCO"),"Maroc",'📋 Inventaire Complet'!M515))</f>
        <v/>
      </c>
    </row>
    <row r="523" spans="22:22" x14ac:dyDescent="0.25">
      <c r="V523" s="20" t="str">
        <f>IF('📋 Inventaire Complet'!M516="","",IF(OR(UPPER('📋 Inventaire Complet'!M516)="MAROC",UPPER('📋 Inventaire Complet'!M516)="MOROCCO"),"Maroc",'📋 Inventaire Complet'!M516))</f>
        <v/>
      </c>
    </row>
    <row r="524" spans="22:22" x14ac:dyDescent="0.25">
      <c r="V524" s="20" t="str">
        <f>IF('📋 Inventaire Complet'!M517="","",IF(OR(UPPER('📋 Inventaire Complet'!M517)="MAROC",UPPER('📋 Inventaire Complet'!M517)="MOROCCO"),"Maroc",'📋 Inventaire Complet'!M517))</f>
        <v/>
      </c>
    </row>
  </sheetData>
  <mergeCells count="8">
    <mergeCell ref="A1:I1"/>
    <mergeCell ref="E44:I55"/>
    <mergeCell ref="A17:D17"/>
    <mergeCell ref="A5:B5"/>
    <mergeCell ref="E5:F5"/>
    <mergeCell ref="A4:F4"/>
    <mergeCell ref="H14:I14"/>
    <mergeCell ref="H13:I13"/>
  </mergeCells>
  <dataValidations count="2">
    <dataValidation type="list" showInputMessage="1" showErrorMessage="1" sqref="B11:B12" xr:uid="{83EF28B8-1556-404A-B070-29DB896FC32B}">
      <formula1>"Tous,Circular Chemistry &amp; Waste Valorization,Environmental Tech &amp; Digital Mining,Green Agriculture &amp; Biotechnology,Mineral Processing &amp; Strategic Synthesis,Sustainable Energy Storage &amp; Management"</formula1>
    </dataValidation>
    <dataValidation type="list" showInputMessage="1" showErrorMessage="1" sqref="F11:F12" xr:uid="{1B1099A4-0600-4549-8E6D-EABADCF6467D}">
      <formula1>"Tous,Maintenu,Délivré,OMPIC,Abandonné,PCT,Expiré,Non renseigné"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35"/>
  <sheetViews>
    <sheetView showGridLines="0" tabSelected="1" topLeftCell="C1" zoomScale="71" workbookViewId="0">
      <pane ySplit="2" topLeftCell="A60" activePane="bottomLeft" state="frozen"/>
      <selection pane="bottomLeft" activeCell="D437" sqref="D437"/>
    </sheetView>
  </sheetViews>
  <sheetFormatPr baseColWidth="10" defaultColWidth="27.453125" defaultRowHeight="14.5" x14ac:dyDescent="0.35"/>
  <cols>
    <col min="1" max="1" width="54.36328125" bestFit="1" customWidth="1"/>
    <col min="2" max="2" width="27" bestFit="1" customWidth="1"/>
    <col min="3" max="3" width="22.54296875" bestFit="1" customWidth="1"/>
    <col min="4" max="4" width="46.1796875" bestFit="1" customWidth="1"/>
    <col min="5" max="5" width="34.6328125" bestFit="1" customWidth="1"/>
    <col min="6" max="6" width="27.36328125" bestFit="1" customWidth="1"/>
    <col min="7" max="7" width="27.54296875" bestFit="1" customWidth="1"/>
    <col min="8" max="8" width="41.90625" bestFit="1" customWidth="1"/>
    <col min="9" max="9" width="20" bestFit="1" customWidth="1"/>
    <col min="10" max="10" width="13.453125" bestFit="1" customWidth="1"/>
    <col min="11" max="11" width="25" bestFit="1" customWidth="1"/>
    <col min="12" max="12" width="22.36328125" bestFit="1" customWidth="1"/>
    <col min="13" max="13" width="27" bestFit="1" customWidth="1"/>
    <col min="14" max="14" width="59.36328125" bestFit="1" customWidth="1"/>
    <col min="15" max="15" width="17.6328125" bestFit="1" customWidth="1"/>
    <col min="16" max="16" width="25" bestFit="1" customWidth="1"/>
    <col min="17" max="17" width="26.1796875" bestFit="1" customWidth="1"/>
    <col min="18" max="18" width="21.453125" bestFit="1" customWidth="1"/>
  </cols>
  <sheetData>
    <row r="1" spans="1:18" ht="15" x14ac:dyDescent="0.35">
      <c r="A1" s="262" t="s">
        <v>1824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</row>
    <row r="2" spans="1:18" ht="15" thickBot="1" x14ac:dyDescent="0.4">
      <c r="A2" s="76" t="s">
        <v>0</v>
      </c>
      <c r="B2" s="76" t="s">
        <v>1</v>
      </c>
      <c r="C2" s="76" t="s">
        <v>1825</v>
      </c>
      <c r="D2" s="76" t="s">
        <v>3</v>
      </c>
      <c r="E2" s="76" t="s">
        <v>4</v>
      </c>
      <c r="F2" s="76" t="s">
        <v>5</v>
      </c>
      <c r="G2" s="76" t="s">
        <v>6</v>
      </c>
      <c r="H2" s="76" t="s">
        <v>7</v>
      </c>
      <c r="I2" s="76" t="s">
        <v>8</v>
      </c>
      <c r="J2" s="76" t="s">
        <v>9</v>
      </c>
      <c r="K2" s="76" t="s">
        <v>10</v>
      </c>
      <c r="L2" s="76" t="s">
        <v>11</v>
      </c>
      <c r="M2" s="76" t="s">
        <v>12</v>
      </c>
      <c r="N2" s="76" t="s">
        <v>13</v>
      </c>
      <c r="O2" s="76" t="s">
        <v>14</v>
      </c>
      <c r="P2" s="76" t="s">
        <v>15</v>
      </c>
      <c r="Q2" s="76" t="s">
        <v>16</v>
      </c>
      <c r="R2" s="76" t="s">
        <v>17</v>
      </c>
    </row>
    <row r="3" spans="1:18" hidden="1" x14ac:dyDescent="0.35">
      <c r="A3" s="77" t="s">
        <v>1826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1:18" ht="46" hidden="1" x14ac:dyDescent="0.35">
      <c r="A4" s="78" t="s">
        <v>32</v>
      </c>
      <c r="B4" s="79" t="s">
        <v>19</v>
      </c>
      <c r="C4" s="80" t="s">
        <v>1827</v>
      </c>
      <c r="D4" s="80" t="s">
        <v>33</v>
      </c>
      <c r="E4" s="80"/>
      <c r="F4" s="81" t="s">
        <v>34</v>
      </c>
      <c r="G4" s="80" t="s">
        <v>35</v>
      </c>
      <c r="H4" s="80"/>
      <c r="I4" s="80" t="s">
        <v>36</v>
      </c>
      <c r="J4" s="80" t="s">
        <v>1828</v>
      </c>
      <c r="K4" s="80" t="s">
        <v>37</v>
      </c>
      <c r="L4" s="82" t="s">
        <v>30</v>
      </c>
      <c r="M4" s="80" t="s">
        <v>397</v>
      </c>
      <c r="N4" s="80" t="s">
        <v>34</v>
      </c>
      <c r="O4" s="83" t="s">
        <v>1829</v>
      </c>
      <c r="P4" s="80" t="s">
        <v>38</v>
      </c>
      <c r="Q4" s="80" t="s">
        <v>39</v>
      </c>
      <c r="R4" s="80" t="s">
        <v>40</v>
      </c>
    </row>
    <row r="5" spans="1:18" ht="23" hidden="1" x14ac:dyDescent="0.35">
      <c r="A5" s="78" t="s">
        <v>417</v>
      </c>
      <c r="B5" s="79" t="s">
        <v>19</v>
      </c>
      <c r="C5" s="80" t="s">
        <v>1827</v>
      </c>
      <c r="D5" s="80" t="s">
        <v>418</v>
      </c>
      <c r="E5" s="80"/>
      <c r="F5" s="84" t="s">
        <v>419</v>
      </c>
      <c r="G5" s="80" t="s">
        <v>1830</v>
      </c>
      <c r="H5" s="80"/>
      <c r="I5" s="80" t="s">
        <v>420</v>
      </c>
      <c r="J5" s="80" t="s">
        <v>1831</v>
      </c>
      <c r="K5" s="80" t="s">
        <v>78</v>
      </c>
      <c r="L5" s="85" t="s">
        <v>79</v>
      </c>
      <c r="M5" s="80" t="s">
        <v>397</v>
      </c>
      <c r="N5" s="80" t="s">
        <v>419</v>
      </c>
      <c r="O5" s="83" t="s">
        <v>1829</v>
      </c>
      <c r="P5" s="80" t="s">
        <v>414</v>
      </c>
      <c r="Q5" s="80" t="s">
        <v>39</v>
      </c>
      <c r="R5" s="80" t="s">
        <v>109</v>
      </c>
    </row>
    <row r="6" spans="1:18" ht="23" hidden="1" x14ac:dyDescent="0.35">
      <c r="A6" s="86" t="s">
        <v>71</v>
      </c>
      <c r="B6" s="79" t="s">
        <v>19</v>
      </c>
      <c r="C6" s="87" t="s">
        <v>1827</v>
      </c>
      <c r="D6" s="87" t="s">
        <v>72</v>
      </c>
      <c r="E6" s="87" t="s">
        <v>73</v>
      </c>
      <c r="F6" s="88" t="s">
        <v>21</v>
      </c>
      <c r="G6" s="87" t="s">
        <v>1832</v>
      </c>
      <c r="H6" s="87"/>
      <c r="I6" s="87" t="s">
        <v>1833</v>
      </c>
      <c r="J6" s="87" t="s">
        <v>1834</v>
      </c>
      <c r="K6" s="87"/>
      <c r="L6" s="89" t="s">
        <v>23</v>
      </c>
      <c r="M6" s="87" t="s">
        <v>397</v>
      </c>
      <c r="N6" s="87" t="s">
        <v>21</v>
      </c>
      <c r="O6" s="90"/>
      <c r="P6" s="87"/>
      <c r="Q6" s="87" t="s">
        <v>24</v>
      </c>
      <c r="R6" s="87"/>
    </row>
    <row r="7" spans="1:18" ht="23" hidden="1" x14ac:dyDescent="0.35">
      <c r="A7" s="78" t="s">
        <v>455</v>
      </c>
      <c r="B7" s="79" t="s">
        <v>19</v>
      </c>
      <c r="C7" s="80" t="s">
        <v>1827</v>
      </c>
      <c r="D7" s="80" t="s">
        <v>456</v>
      </c>
      <c r="E7" s="80"/>
      <c r="F7" s="80" t="s">
        <v>180</v>
      </c>
      <c r="G7" s="80" t="s">
        <v>457</v>
      </c>
      <c r="H7" s="80"/>
      <c r="I7" s="80" t="s">
        <v>458</v>
      </c>
      <c r="J7" s="80" t="s">
        <v>1835</v>
      </c>
      <c r="K7" s="80" t="s">
        <v>78</v>
      </c>
      <c r="L7" s="85" t="s">
        <v>79</v>
      </c>
      <c r="M7" s="80" t="s">
        <v>397</v>
      </c>
      <c r="N7" s="80" t="s">
        <v>180</v>
      </c>
      <c r="O7" s="83" t="s">
        <v>1829</v>
      </c>
      <c r="P7" s="80" t="s">
        <v>108</v>
      </c>
      <c r="Q7" s="80" t="s">
        <v>39</v>
      </c>
      <c r="R7" s="80" t="s">
        <v>459</v>
      </c>
    </row>
    <row r="8" spans="1:18" ht="23" hidden="1" x14ac:dyDescent="0.35">
      <c r="A8" s="78" t="s">
        <v>473</v>
      </c>
      <c r="B8" s="79" t="s">
        <v>19</v>
      </c>
      <c r="C8" s="80" t="s">
        <v>1827</v>
      </c>
      <c r="D8" s="80" t="s">
        <v>474</v>
      </c>
      <c r="E8" s="80"/>
      <c r="F8" s="91" t="s">
        <v>475</v>
      </c>
      <c r="G8" s="80" t="s">
        <v>476</v>
      </c>
      <c r="H8" s="80"/>
      <c r="I8" s="80" t="s">
        <v>1836</v>
      </c>
      <c r="J8" s="80" t="s">
        <v>1835</v>
      </c>
      <c r="K8" s="80" t="s">
        <v>78</v>
      </c>
      <c r="L8" s="85" t="s">
        <v>79</v>
      </c>
      <c r="M8" s="80" t="s">
        <v>397</v>
      </c>
      <c r="N8" s="80" t="s">
        <v>477</v>
      </c>
      <c r="O8" s="83" t="s">
        <v>1829</v>
      </c>
      <c r="P8" s="80" t="s">
        <v>108</v>
      </c>
      <c r="Q8" s="80" t="s">
        <v>39</v>
      </c>
      <c r="R8" s="80" t="s">
        <v>415</v>
      </c>
    </row>
    <row r="9" spans="1:18" ht="23" hidden="1" x14ac:dyDescent="0.35">
      <c r="A9" s="78" t="s">
        <v>548</v>
      </c>
      <c r="B9" s="79" t="s">
        <v>19</v>
      </c>
      <c r="C9" s="80" t="s">
        <v>1827</v>
      </c>
      <c r="D9" s="80" t="s">
        <v>549</v>
      </c>
      <c r="E9" s="80"/>
      <c r="F9" s="84" t="s">
        <v>419</v>
      </c>
      <c r="G9" s="80" t="s">
        <v>550</v>
      </c>
      <c r="H9" s="80"/>
      <c r="I9" s="80" t="s">
        <v>551</v>
      </c>
      <c r="J9" s="80" t="s">
        <v>1837</v>
      </c>
      <c r="K9" s="80" t="s">
        <v>106</v>
      </c>
      <c r="L9" s="92" t="s">
        <v>107</v>
      </c>
      <c r="M9" s="80" t="s">
        <v>397</v>
      </c>
      <c r="N9" s="80" t="s">
        <v>419</v>
      </c>
      <c r="O9" s="83" t="s">
        <v>1829</v>
      </c>
      <c r="P9" s="80"/>
      <c r="Q9" s="80" t="s">
        <v>39</v>
      </c>
      <c r="R9" s="80" t="s">
        <v>552</v>
      </c>
    </row>
    <row r="10" spans="1:18" ht="23" hidden="1" x14ac:dyDescent="0.35">
      <c r="A10" s="78" t="s">
        <v>664</v>
      </c>
      <c r="B10" s="79" t="s">
        <v>19</v>
      </c>
      <c r="C10" s="80" t="s">
        <v>1827</v>
      </c>
      <c r="D10" s="80" t="s">
        <v>665</v>
      </c>
      <c r="E10" s="80"/>
      <c r="F10" s="91" t="s">
        <v>475</v>
      </c>
      <c r="G10" s="80" t="s">
        <v>1838</v>
      </c>
      <c r="H10" s="80"/>
      <c r="I10" s="80" t="s">
        <v>666</v>
      </c>
      <c r="J10" s="80" t="s">
        <v>1831</v>
      </c>
      <c r="K10" s="80" t="s">
        <v>78</v>
      </c>
      <c r="L10" s="85" t="s">
        <v>79</v>
      </c>
      <c r="M10" s="80" t="s">
        <v>397</v>
      </c>
      <c r="N10" s="80" t="s">
        <v>477</v>
      </c>
      <c r="O10" s="83" t="s">
        <v>1829</v>
      </c>
      <c r="P10" s="80" t="s">
        <v>414</v>
      </c>
      <c r="Q10" s="80" t="s">
        <v>39</v>
      </c>
      <c r="R10" s="80" t="s">
        <v>109</v>
      </c>
    </row>
    <row r="11" spans="1:18" ht="23" hidden="1" x14ac:dyDescent="0.35">
      <c r="A11" s="86" t="s">
        <v>683</v>
      </c>
      <c r="B11" s="79" t="s">
        <v>19</v>
      </c>
      <c r="C11" s="87" t="s">
        <v>1827</v>
      </c>
      <c r="D11" s="87" t="s">
        <v>684</v>
      </c>
      <c r="E11" s="87" t="s">
        <v>685</v>
      </c>
      <c r="F11" s="88" t="s">
        <v>21</v>
      </c>
      <c r="G11" s="87" t="s">
        <v>1839</v>
      </c>
      <c r="H11" s="87"/>
      <c r="I11" s="87" t="s">
        <v>211</v>
      </c>
      <c r="J11" s="87" t="s">
        <v>1828</v>
      </c>
      <c r="K11" s="87" t="s">
        <v>85</v>
      </c>
      <c r="L11" s="82" t="s">
        <v>30</v>
      </c>
      <c r="M11" s="87"/>
      <c r="N11" s="87" t="s">
        <v>21</v>
      </c>
      <c r="O11" s="90"/>
      <c r="P11" s="87"/>
      <c r="Q11" s="87" t="s">
        <v>24</v>
      </c>
      <c r="R11" s="87"/>
    </row>
    <row r="12" spans="1:18" ht="23" hidden="1" x14ac:dyDescent="0.35">
      <c r="A12" s="86" t="s">
        <v>129</v>
      </c>
      <c r="B12" s="79" t="s">
        <v>19</v>
      </c>
      <c r="C12" s="87" t="s">
        <v>1827</v>
      </c>
      <c r="D12" s="87" t="s">
        <v>130</v>
      </c>
      <c r="E12" s="87" t="s">
        <v>131</v>
      </c>
      <c r="F12" s="88" t="s">
        <v>21</v>
      </c>
      <c r="G12" s="87" t="s">
        <v>1840</v>
      </c>
      <c r="H12" s="87"/>
      <c r="I12" s="87" t="s">
        <v>132</v>
      </c>
      <c r="J12" s="87" t="s">
        <v>1841</v>
      </c>
      <c r="K12" s="87" t="s">
        <v>133</v>
      </c>
      <c r="L12" s="82" t="s">
        <v>30</v>
      </c>
      <c r="M12" s="87"/>
      <c r="N12" s="87" t="s">
        <v>21</v>
      </c>
      <c r="O12" s="90"/>
      <c r="P12" s="87"/>
      <c r="Q12" s="87" t="s">
        <v>24</v>
      </c>
      <c r="R12" s="87"/>
    </row>
    <row r="13" spans="1:18" ht="23" hidden="1" x14ac:dyDescent="0.35">
      <c r="A13" s="86" t="s">
        <v>436</v>
      </c>
      <c r="B13" s="79" t="s">
        <v>19</v>
      </c>
      <c r="C13" s="87" t="s">
        <v>1842</v>
      </c>
      <c r="D13" s="87" t="s">
        <v>437</v>
      </c>
      <c r="E13" s="87"/>
      <c r="F13" s="93" t="s">
        <v>170</v>
      </c>
      <c r="G13" s="87" t="s">
        <v>438</v>
      </c>
      <c r="H13" s="87"/>
      <c r="I13" s="87" t="s">
        <v>439</v>
      </c>
      <c r="J13" s="87" t="s">
        <v>1828</v>
      </c>
      <c r="K13" s="87" t="s">
        <v>78</v>
      </c>
      <c r="L13" s="85" t="s">
        <v>79</v>
      </c>
      <c r="M13" s="87" t="s">
        <v>397</v>
      </c>
      <c r="N13" s="87" t="s">
        <v>170</v>
      </c>
      <c r="O13" s="90" t="s">
        <v>1829</v>
      </c>
      <c r="P13" s="87" t="s">
        <v>173</v>
      </c>
      <c r="Q13" s="87" t="s">
        <v>39</v>
      </c>
      <c r="R13" s="87" t="s">
        <v>440</v>
      </c>
    </row>
    <row r="14" spans="1:18" ht="23" hidden="1" x14ac:dyDescent="0.35">
      <c r="A14" s="86" t="s">
        <v>81</v>
      </c>
      <c r="B14" s="79" t="s">
        <v>19</v>
      </c>
      <c r="C14" s="87" t="s">
        <v>1842</v>
      </c>
      <c r="D14" s="87" t="s">
        <v>82</v>
      </c>
      <c r="E14" s="87" t="s">
        <v>83</v>
      </c>
      <c r="F14" s="88" t="s">
        <v>21</v>
      </c>
      <c r="G14" s="87" t="s">
        <v>1843</v>
      </c>
      <c r="H14" s="87"/>
      <c r="I14" s="87" t="s">
        <v>84</v>
      </c>
      <c r="J14" s="87" t="s">
        <v>1828</v>
      </c>
      <c r="K14" s="87" t="s">
        <v>85</v>
      </c>
      <c r="L14" s="82" t="s">
        <v>30</v>
      </c>
      <c r="M14" s="87"/>
      <c r="N14" s="87" t="s">
        <v>21</v>
      </c>
      <c r="O14" s="90"/>
      <c r="P14" s="87"/>
      <c r="Q14" s="87" t="s">
        <v>24</v>
      </c>
      <c r="R14" s="87"/>
    </row>
    <row r="15" spans="1:18" ht="23" hidden="1" x14ac:dyDescent="0.35">
      <c r="A15" s="78" t="s">
        <v>86</v>
      </c>
      <c r="B15" s="79" t="s">
        <v>19</v>
      </c>
      <c r="C15" s="80" t="s">
        <v>1842</v>
      </c>
      <c r="D15" s="80" t="s">
        <v>87</v>
      </c>
      <c r="E15" s="80" t="s">
        <v>88</v>
      </c>
      <c r="F15" s="88" t="s">
        <v>21</v>
      </c>
      <c r="G15" s="80" t="s">
        <v>1844</v>
      </c>
      <c r="H15" s="80"/>
      <c r="I15" s="80" t="s">
        <v>89</v>
      </c>
      <c r="J15" s="80" t="s">
        <v>1837</v>
      </c>
      <c r="K15" s="80"/>
      <c r="L15" s="89" t="s">
        <v>23</v>
      </c>
      <c r="M15" s="80" t="s">
        <v>397</v>
      </c>
      <c r="N15" s="80" t="s">
        <v>90</v>
      </c>
      <c r="O15" s="83"/>
      <c r="P15" s="80"/>
      <c r="Q15" s="80" t="s">
        <v>24</v>
      </c>
      <c r="R15" s="80"/>
    </row>
    <row r="16" spans="1:18" ht="23" hidden="1" x14ac:dyDescent="0.35">
      <c r="A16" s="78" t="s">
        <v>216</v>
      </c>
      <c r="B16" s="79" t="s">
        <v>19</v>
      </c>
      <c r="C16" s="80" t="s">
        <v>1842</v>
      </c>
      <c r="D16" s="80" t="s">
        <v>217</v>
      </c>
      <c r="E16" s="80" t="s">
        <v>218</v>
      </c>
      <c r="F16" s="88" t="s">
        <v>21</v>
      </c>
      <c r="G16" s="80" t="s">
        <v>1845</v>
      </c>
      <c r="H16" s="80" t="s">
        <v>1845</v>
      </c>
      <c r="I16" s="80" t="s">
        <v>219</v>
      </c>
      <c r="J16" s="80" t="s">
        <v>1846</v>
      </c>
      <c r="K16" s="80" t="s">
        <v>220</v>
      </c>
      <c r="L16" s="82" t="s">
        <v>30</v>
      </c>
      <c r="M16" s="80"/>
      <c r="N16" s="80" t="s">
        <v>21</v>
      </c>
      <c r="O16" s="83"/>
      <c r="P16" s="80"/>
      <c r="Q16" s="80" t="s">
        <v>24</v>
      </c>
      <c r="R16" s="80"/>
    </row>
    <row r="17" spans="1:18" ht="34.5" hidden="1" x14ac:dyDescent="0.35">
      <c r="A17" s="86" t="s">
        <v>97</v>
      </c>
      <c r="B17" s="79" t="s">
        <v>19</v>
      </c>
      <c r="C17" s="87" t="s">
        <v>1842</v>
      </c>
      <c r="D17" s="87" t="s">
        <v>98</v>
      </c>
      <c r="E17" s="87" t="s">
        <v>99</v>
      </c>
      <c r="F17" s="88" t="s">
        <v>21</v>
      </c>
      <c r="G17" s="87" t="s">
        <v>1847</v>
      </c>
      <c r="H17" s="87"/>
      <c r="I17" s="87" t="s">
        <v>100</v>
      </c>
      <c r="J17" s="87" t="s">
        <v>1848</v>
      </c>
      <c r="K17" s="87"/>
      <c r="L17" s="89" t="s">
        <v>23</v>
      </c>
      <c r="M17" s="87" t="s">
        <v>397</v>
      </c>
      <c r="N17" s="87" t="s">
        <v>21</v>
      </c>
      <c r="O17" s="90"/>
      <c r="P17" s="87"/>
      <c r="Q17" s="87" t="s">
        <v>24</v>
      </c>
      <c r="R17" s="87"/>
    </row>
    <row r="18" spans="1:18" ht="23" hidden="1" x14ac:dyDescent="0.35">
      <c r="A18" s="78" t="s">
        <v>512</v>
      </c>
      <c r="B18" s="79" t="s">
        <v>19</v>
      </c>
      <c r="C18" s="80" t="s">
        <v>1842</v>
      </c>
      <c r="D18" s="80" t="s">
        <v>513</v>
      </c>
      <c r="E18" s="80" t="s">
        <v>514</v>
      </c>
      <c r="F18" s="88" t="s">
        <v>21</v>
      </c>
      <c r="G18" s="80" t="s">
        <v>1849</v>
      </c>
      <c r="H18" s="80"/>
      <c r="I18" s="80" t="s">
        <v>186</v>
      </c>
      <c r="J18" s="80" t="s">
        <v>1834</v>
      </c>
      <c r="K18" s="80"/>
      <c r="L18" s="89" t="s">
        <v>23</v>
      </c>
      <c r="M18" s="80" t="s">
        <v>397</v>
      </c>
      <c r="N18" s="80" t="s">
        <v>21</v>
      </c>
      <c r="O18" s="83"/>
      <c r="P18" s="80"/>
      <c r="Q18" s="80" t="s">
        <v>24</v>
      </c>
      <c r="R18" s="80"/>
    </row>
    <row r="19" spans="1:18" ht="34.5" hidden="1" x14ac:dyDescent="0.35">
      <c r="A19" s="78" t="s">
        <v>421</v>
      </c>
      <c r="B19" s="79" t="s">
        <v>19</v>
      </c>
      <c r="C19" s="80" t="s">
        <v>1842</v>
      </c>
      <c r="D19" s="80" t="s">
        <v>422</v>
      </c>
      <c r="E19" s="80" t="s">
        <v>423</v>
      </c>
      <c r="F19" s="88" t="s">
        <v>21</v>
      </c>
      <c r="G19" s="80" t="s">
        <v>1850</v>
      </c>
      <c r="H19" s="80"/>
      <c r="I19" s="80" t="s">
        <v>424</v>
      </c>
      <c r="J19" s="80" t="s">
        <v>1851</v>
      </c>
      <c r="K19" s="80" t="s">
        <v>425</v>
      </c>
      <c r="L19" s="82" t="s">
        <v>30</v>
      </c>
      <c r="M19" s="80"/>
      <c r="N19" s="80" t="s">
        <v>21</v>
      </c>
      <c r="O19" s="83"/>
      <c r="P19" s="80"/>
      <c r="Q19" s="80" t="s">
        <v>24</v>
      </c>
      <c r="R19" s="80"/>
    </row>
    <row r="20" spans="1:18" ht="23" hidden="1" x14ac:dyDescent="0.35">
      <c r="A20" s="86" t="s">
        <v>426</v>
      </c>
      <c r="B20" s="79" t="s">
        <v>19</v>
      </c>
      <c r="C20" s="87" t="s">
        <v>1842</v>
      </c>
      <c r="D20" s="87" t="s">
        <v>427</v>
      </c>
      <c r="E20" s="87" t="s">
        <v>428</v>
      </c>
      <c r="F20" s="88" t="s">
        <v>21</v>
      </c>
      <c r="G20" s="87" t="s">
        <v>1852</v>
      </c>
      <c r="H20" s="87"/>
      <c r="I20" s="87" t="s">
        <v>159</v>
      </c>
      <c r="J20" s="87" t="s">
        <v>1841</v>
      </c>
      <c r="K20" s="87"/>
      <c r="L20" s="89" t="s">
        <v>23</v>
      </c>
      <c r="M20" s="87" t="s">
        <v>397</v>
      </c>
      <c r="N20" s="87" t="s">
        <v>21</v>
      </c>
      <c r="O20" s="90"/>
      <c r="P20" s="87"/>
      <c r="Q20" s="87" t="s">
        <v>24</v>
      </c>
      <c r="R20" s="87"/>
    </row>
    <row r="21" spans="1:18" ht="34.5" hidden="1" x14ac:dyDescent="0.35">
      <c r="A21" s="86" t="s">
        <v>429</v>
      </c>
      <c r="B21" s="79" t="s">
        <v>19</v>
      </c>
      <c r="C21" s="87" t="s">
        <v>1842</v>
      </c>
      <c r="D21" s="87" t="s">
        <v>430</v>
      </c>
      <c r="E21" s="87" t="s">
        <v>423</v>
      </c>
      <c r="F21" s="88" t="s">
        <v>21</v>
      </c>
      <c r="G21" s="87" t="s">
        <v>1853</v>
      </c>
      <c r="H21" s="87" t="s">
        <v>1853</v>
      </c>
      <c r="I21" s="87" t="s">
        <v>431</v>
      </c>
      <c r="J21" s="87" t="s">
        <v>1854</v>
      </c>
      <c r="K21" s="87" t="s">
        <v>432</v>
      </c>
      <c r="L21" s="82" t="s">
        <v>30</v>
      </c>
      <c r="M21" s="87"/>
      <c r="N21" s="87" t="s">
        <v>21</v>
      </c>
      <c r="O21" s="90"/>
      <c r="P21" s="87"/>
      <c r="Q21" s="87" t="s">
        <v>24</v>
      </c>
      <c r="R21" s="87"/>
    </row>
    <row r="22" spans="1:18" ht="23" hidden="1" x14ac:dyDescent="0.35">
      <c r="A22" s="86" t="s">
        <v>113</v>
      </c>
      <c r="B22" s="79" t="s">
        <v>19</v>
      </c>
      <c r="C22" s="87" t="s">
        <v>1842</v>
      </c>
      <c r="D22" s="87" t="s">
        <v>114</v>
      </c>
      <c r="E22" s="87" t="s">
        <v>115</v>
      </c>
      <c r="F22" s="88" t="s">
        <v>21</v>
      </c>
      <c r="G22" s="87" t="s">
        <v>1855</v>
      </c>
      <c r="H22" s="87" t="s">
        <v>1855</v>
      </c>
      <c r="I22" s="87" t="s">
        <v>116</v>
      </c>
      <c r="J22" s="87" t="s">
        <v>1854</v>
      </c>
      <c r="K22" s="87" t="s">
        <v>117</v>
      </c>
      <c r="L22" s="82" t="s">
        <v>30</v>
      </c>
      <c r="M22" s="87"/>
      <c r="N22" s="87" t="s">
        <v>21</v>
      </c>
      <c r="O22" s="90"/>
      <c r="P22" s="87"/>
      <c r="Q22" s="87" t="s">
        <v>24</v>
      </c>
      <c r="R22" s="87"/>
    </row>
    <row r="23" spans="1:18" ht="46" hidden="1" x14ac:dyDescent="0.35">
      <c r="A23" s="78" t="s">
        <v>673</v>
      </c>
      <c r="B23" s="79" t="s">
        <v>19</v>
      </c>
      <c r="C23" s="80" t="s">
        <v>1842</v>
      </c>
      <c r="D23" s="80" t="s">
        <v>674</v>
      </c>
      <c r="E23" s="80" t="s">
        <v>675</v>
      </c>
      <c r="F23" s="88" t="s">
        <v>21</v>
      </c>
      <c r="G23" s="80" t="s">
        <v>1856</v>
      </c>
      <c r="H23" s="80"/>
      <c r="I23" s="80" t="s">
        <v>676</v>
      </c>
      <c r="J23" s="80" t="s">
        <v>1828</v>
      </c>
      <c r="K23" s="80" t="s">
        <v>677</v>
      </c>
      <c r="L23" s="82" t="s">
        <v>30</v>
      </c>
      <c r="M23" s="80"/>
      <c r="N23" s="80" t="s">
        <v>678</v>
      </c>
      <c r="O23" s="83"/>
      <c r="P23" s="80"/>
      <c r="Q23" s="80" t="s">
        <v>24</v>
      </c>
      <c r="R23" s="80"/>
    </row>
    <row r="24" spans="1:18" ht="23" hidden="1" x14ac:dyDescent="0.35">
      <c r="A24" s="78" t="s">
        <v>151</v>
      </c>
      <c r="B24" s="79" t="s">
        <v>19</v>
      </c>
      <c r="C24" s="80" t="s">
        <v>1842</v>
      </c>
      <c r="D24" s="80" t="s">
        <v>152</v>
      </c>
      <c r="E24" s="80" t="s">
        <v>153</v>
      </c>
      <c r="F24" s="88" t="s">
        <v>21</v>
      </c>
      <c r="G24" s="80" t="s">
        <v>1857</v>
      </c>
      <c r="H24" s="80" t="s">
        <v>1857</v>
      </c>
      <c r="I24" s="80" t="s">
        <v>154</v>
      </c>
      <c r="J24" s="80" t="s">
        <v>1858</v>
      </c>
      <c r="K24" s="80" t="s">
        <v>155</v>
      </c>
      <c r="L24" s="82" t="s">
        <v>30</v>
      </c>
      <c r="M24" s="80"/>
      <c r="N24" s="80" t="s">
        <v>21</v>
      </c>
      <c r="O24" s="83"/>
      <c r="P24" s="80"/>
      <c r="Q24" s="80" t="s">
        <v>24</v>
      </c>
      <c r="R24" s="80"/>
    </row>
    <row r="25" spans="1:18" ht="23" hidden="1" x14ac:dyDescent="0.35">
      <c r="A25" s="86" t="s">
        <v>813</v>
      </c>
      <c r="B25" s="79" t="s">
        <v>19</v>
      </c>
      <c r="C25" s="87" t="s">
        <v>1842</v>
      </c>
      <c r="D25" s="87" t="s">
        <v>814</v>
      </c>
      <c r="E25" s="87" t="s">
        <v>815</v>
      </c>
      <c r="F25" s="88" t="s">
        <v>21</v>
      </c>
      <c r="G25" s="87" t="s">
        <v>1859</v>
      </c>
      <c r="H25" s="87" t="s">
        <v>1859</v>
      </c>
      <c r="I25" s="87" t="s">
        <v>1860</v>
      </c>
      <c r="J25" s="87" t="s">
        <v>1848</v>
      </c>
      <c r="K25" s="87" t="s">
        <v>187</v>
      </c>
      <c r="L25" s="82" t="s">
        <v>30</v>
      </c>
      <c r="M25" s="87"/>
      <c r="N25" s="87" t="s">
        <v>21</v>
      </c>
      <c r="O25" s="90"/>
      <c r="P25" s="87"/>
      <c r="Q25" s="87" t="s">
        <v>24</v>
      </c>
      <c r="R25" s="87"/>
    </row>
    <row r="26" spans="1:18" ht="23" hidden="1" x14ac:dyDescent="0.35">
      <c r="A26" s="86" t="s">
        <v>433</v>
      </c>
      <c r="B26" s="79" t="s">
        <v>19</v>
      </c>
      <c r="C26" s="87" t="s">
        <v>1861</v>
      </c>
      <c r="D26" s="87" t="s">
        <v>434</v>
      </c>
      <c r="E26" s="87"/>
      <c r="F26" s="87" t="s">
        <v>180</v>
      </c>
      <c r="G26" s="87" t="s">
        <v>435</v>
      </c>
      <c r="H26" s="87"/>
      <c r="I26" s="87" t="s">
        <v>1862</v>
      </c>
      <c r="J26" s="87" t="s">
        <v>1837</v>
      </c>
      <c r="K26" s="87" t="s">
        <v>106</v>
      </c>
      <c r="L26" s="92" t="s">
        <v>107</v>
      </c>
      <c r="M26" s="87" t="s">
        <v>397</v>
      </c>
      <c r="N26" s="87" t="s">
        <v>180</v>
      </c>
      <c r="O26" s="90" t="s">
        <v>1829</v>
      </c>
      <c r="P26" s="87"/>
      <c r="Q26" s="87" t="s">
        <v>39</v>
      </c>
      <c r="R26" s="87" t="s">
        <v>109</v>
      </c>
    </row>
    <row r="27" spans="1:18" ht="23" hidden="1" x14ac:dyDescent="0.35">
      <c r="A27" s="78" t="s">
        <v>41</v>
      </c>
      <c r="B27" s="79" t="s">
        <v>19</v>
      </c>
      <c r="C27" s="80" t="s">
        <v>1861</v>
      </c>
      <c r="D27" s="80" t="s">
        <v>42</v>
      </c>
      <c r="E27" s="80" t="s">
        <v>43</v>
      </c>
      <c r="F27" s="88" t="s">
        <v>21</v>
      </c>
      <c r="G27" s="80" t="s">
        <v>1863</v>
      </c>
      <c r="H27" s="80"/>
      <c r="I27" s="80" t="s">
        <v>44</v>
      </c>
      <c r="J27" s="80" t="s">
        <v>1864</v>
      </c>
      <c r="K27" s="80"/>
      <c r="L27" s="89" t="s">
        <v>23</v>
      </c>
      <c r="M27" s="80" t="s">
        <v>397</v>
      </c>
      <c r="N27" s="80" t="s">
        <v>21</v>
      </c>
      <c r="O27" s="83"/>
      <c r="P27" s="80"/>
      <c r="Q27" s="80" t="s">
        <v>24</v>
      </c>
      <c r="R27" s="80"/>
    </row>
    <row r="28" spans="1:18" ht="23" hidden="1" x14ac:dyDescent="0.35">
      <c r="A28" s="86" t="s">
        <v>45</v>
      </c>
      <c r="B28" s="79" t="s">
        <v>19</v>
      </c>
      <c r="C28" s="87" t="s">
        <v>1861</v>
      </c>
      <c r="D28" s="87" t="s">
        <v>46</v>
      </c>
      <c r="E28" s="87" t="s">
        <v>47</v>
      </c>
      <c r="F28" s="88" t="s">
        <v>21</v>
      </c>
      <c r="G28" s="87" t="s">
        <v>1865</v>
      </c>
      <c r="H28" s="87"/>
      <c r="I28" s="87" t="s">
        <v>48</v>
      </c>
      <c r="J28" s="87" t="s">
        <v>1858</v>
      </c>
      <c r="K28" s="87"/>
      <c r="L28" s="89" t="s">
        <v>23</v>
      </c>
      <c r="M28" s="87" t="s">
        <v>397</v>
      </c>
      <c r="N28" s="87" t="s">
        <v>21</v>
      </c>
      <c r="O28" s="90"/>
      <c r="P28" s="87"/>
      <c r="Q28" s="87" t="s">
        <v>24</v>
      </c>
      <c r="R28" s="87"/>
    </row>
    <row r="29" spans="1:18" ht="23" hidden="1" x14ac:dyDescent="0.35">
      <c r="A29" s="78" t="s">
        <v>49</v>
      </c>
      <c r="B29" s="79" t="s">
        <v>19</v>
      </c>
      <c r="C29" s="80" t="s">
        <v>1861</v>
      </c>
      <c r="D29" s="80" t="s">
        <v>50</v>
      </c>
      <c r="E29" s="80" t="s">
        <v>51</v>
      </c>
      <c r="F29" s="88" t="s">
        <v>21</v>
      </c>
      <c r="G29" s="80" t="s">
        <v>1866</v>
      </c>
      <c r="H29" s="80"/>
      <c r="I29" s="80" t="s">
        <v>52</v>
      </c>
      <c r="J29" s="80" t="s">
        <v>1867</v>
      </c>
      <c r="K29" s="80"/>
      <c r="L29" s="89" t="s">
        <v>23</v>
      </c>
      <c r="M29" s="80" t="s">
        <v>397</v>
      </c>
      <c r="N29" s="80" t="s">
        <v>21</v>
      </c>
      <c r="O29" s="83"/>
      <c r="P29" s="80"/>
      <c r="Q29" s="80" t="s">
        <v>24</v>
      </c>
      <c r="R29" s="80"/>
    </row>
    <row r="30" spans="1:18" ht="23" hidden="1" x14ac:dyDescent="0.35">
      <c r="A30" s="86" t="s">
        <v>53</v>
      </c>
      <c r="B30" s="79" t="s">
        <v>19</v>
      </c>
      <c r="C30" s="87" t="s">
        <v>1861</v>
      </c>
      <c r="D30" s="87" t="s">
        <v>54</v>
      </c>
      <c r="E30" s="87" t="s">
        <v>55</v>
      </c>
      <c r="F30" s="88" t="s">
        <v>21</v>
      </c>
      <c r="G30" s="87" t="s">
        <v>1868</v>
      </c>
      <c r="H30" s="87"/>
      <c r="I30" s="87" t="s">
        <v>1869</v>
      </c>
      <c r="J30" s="87" t="s">
        <v>1867</v>
      </c>
      <c r="K30" s="87"/>
      <c r="L30" s="89" t="s">
        <v>23</v>
      </c>
      <c r="M30" s="87" t="s">
        <v>397</v>
      </c>
      <c r="N30" s="87" t="s">
        <v>21</v>
      </c>
      <c r="O30" s="90"/>
      <c r="P30" s="87"/>
      <c r="Q30" s="87" t="s">
        <v>24</v>
      </c>
      <c r="R30" s="87"/>
    </row>
    <row r="31" spans="1:18" ht="23" hidden="1" x14ac:dyDescent="0.35">
      <c r="A31" s="78" t="s">
        <v>56</v>
      </c>
      <c r="B31" s="79" t="s">
        <v>19</v>
      </c>
      <c r="C31" s="80" t="s">
        <v>1861</v>
      </c>
      <c r="D31" s="80" t="s">
        <v>57</v>
      </c>
      <c r="E31" s="80" t="s">
        <v>58</v>
      </c>
      <c r="F31" s="88" t="s">
        <v>21</v>
      </c>
      <c r="G31" s="80" t="s">
        <v>1870</v>
      </c>
      <c r="H31" s="80" t="s">
        <v>1871</v>
      </c>
      <c r="I31" s="80" t="s">
        <v>59</v>
      </c>
      <c r="J31" s="80" t="s">
        <v>1864</v>
      </c>
      <c r="K31" s="80" t="s">
        <v>60</v>
      </c>
      <c r="L31" s="94" t="s">
        <v>61</v>
      </c>
      <c r="M31" s="80"/>
      <c r="N31" s="80" t="s">
        <v>21</v>
      </c>
      <c r="O31" s="83"/>
      <c r="P31" s="80"/>
      <c r="Q31" s="80" t="s">
        <v>24</v>
      </c>
      <c r="R31" s="80"/>
    </row>
    <row r="32" spans="1:18" ht="34.5" hidden="1" x14ac:dyDescent="0.35">
      <c r="A32" s="78" t="s">
        <v>62</v>
      </c>
      <c r="B32" s="79" t="s">
        <v>19</v>
      </c>
      <c r="C32" s="80" t="s">
        <v>1861</v>
      </c>
      <c r="D32" s="80" t="s">
        <v>63</v>
      </c>
      <c r="E32" s="80" t="s">
        <v>64</v>
      </c>
      <c r="F32" s="88" t="s">
        <v>21</v>
      </c>
      <c r="G32" s="80" t="s">
        <v>1872</v>
      </c>
      <c r="H32" s="80" t="s">
        <v>1873</v>
      </c>
      <c r="I32" s="80" t="s">
        <v>65</v>
      </c>
      <c r="J32" s="80" t="s">
        <v>1874</v>
      </c>
      <c r="K32" s="80" t="s">
        <v>66</v>
      </c>
      <c r="L32" s="82" t="s">
        <v>30</v>
      </c>
      <c r="M32" s="80"/>
      <c r="N32" s="80" t="s">
        <v>21</v>
      </c>
      <c r="O32" s="83"/>
      <c r="P32" s="80"/>
      <c r="Q32" s="80" t="s">
        <v>24</v>
      </c>
      <c r="R32" s="80"/>
    </row>
    <row r="33" spans="1:18" ht="23" hidden="1" x14ac:dyDescent="0.35">
      <c r="A33" s="78" t="s">
        <v>460</v>
      </c>
      <c r="B33" s="79" t="s">
        <v>19</v>
      </c>
      <c r="C33" s="80" t="s">
        <v>1861</v>
      </c>
      <c r="D33" s="80" t="s">
        <v>461</v>
      </c>
      <c r="E33" s="80" t="s">
        <v>462</v>
      </c>
      <c r="F33" s="88" t="s">
        <v>21</v>
      </c>
      <c r="G33" s="80" t="s">
        <v>1875</v>
      </c>
      <c r="H33" s="80"/>
      <c r="I33" s="80" t="s">
        <v>463</v>
      </c>
      <c r="J33" s="80" t="s">
        <v>1848</v>
      </c>
      <c r="K33" s="80"/>
      <c r="L33" s="89" t="s">
        <v>23</v>
      </c>
      <c r="M33" s="80" t="s">
        <v>397</v>
      </c>
      <c r="N33" s="80" t="s">
        <v>21</v>
      </c>
      <c r="O33" s="83"/>
      <c r="P33" s="80"/>
      <c r="Q33" s="80" t="s">
        <v>24</v>
      </c>
      <c r="R33" s="80"/>
    </row>
    <row r="34" spans="1:18" ht="23" hidden="1" x14ac:dyDescent="0.35">
      <c r="A34" s="86" t="s">
        <v>464</v>
      </c>
      <c r="B34" s="79" t="s">
        <v>19</v>
      </c>
      <c r="C34" s="87" t="s">
        <v>1861</v>
      </c>
      <c r="D34" s="87" t="s">
        <v>465</v>
      </c>
      <c r="E34" s="87"/>
      <c r="F34" s="95" t="s">
        <v>466</v>
      </c>
      <c r="G34" s="87" t="s">
        <v>1876</v>
      </c>
      <c r="H34" s="87"/>
      <c r="I34" s="87" t="s">
        <v>467</v>
      </c>
      <c r="J34" s="87" t="s">
        <v>1831</v>
      </c>
      <c r="K34" s="87" t="s">
        <v>78</v>
      </c>
      <c r="L34" s="85" t="s">
        <v>79</v>
      </c>
      <c r="M34" s="87" t="s">
        <v>397</v>
      </c>
      <c r="N34" s="87" t="s">
        <v>466</v>
      </c>
      <c r="O34" s="90" t="s">
        <v>1829</v>
      </c>
      <c r="P34" s="87" t="s">
        <v>414</v>
      </c>
      <c r="Q34" s="87" t="s">
        <v>39</v>
      </c>
      <c r="R34" s="87" t="s">
        <v>468</v>
      </c>
    </row>
    <row r="35" spans="1:18" ht="23" hidden="1" x14ac:dyDescent="0.35">
      <c r="A35" s="86" t="s">
        <v>91</v>
      </c>
      <c r="B35" s="79" t="s">
        <v>19</v>
      </c>
      <c r="C35" s="87" t="s">
        <v>1861</v>
      </c>
      <c r="D35" s="87" t="s">
        <v>92</v>
      </c>
      <c r="E35" s="87"/>
      <c r="F35" s="96" t="s">
        <v>93</v>
      </c>
      <c r="G35" s="87" t="s">
        <v>1877</v>
      </c>
      <c r="H35" s="87"/>
      <c r="I35" s="87"/>
      <c r="J35" s="87"/>
      <c r="K35" s="87"/>
      <c r="L35" s="89" t="s">
        <v>23</v>
      </c>
      <c r="M35" s="87" t="s">
        <v>94</v>
      </c>
      <c r="N35" s="87"/>
      <c r="O35" s="90"/>
      <c r="P35" s="87"/>
      <c r="Q35" s="87" t="s">
        <v>95</v>
      </c>
      <c r="R35" s="87" t="s">
        <v>96</v>
      </c>
    </row>
    <row r="36" spans="1:18" ht="23" hidden="1" x14ac:dyDescent="0.35">
      <c r="A36" s="86" t="s">
        <v>101</v>
      </c>
      <c r="B36" s="79" t="s">
        <v>19</v>
      </c>
      <c r="C36" s="87" t="s">
        <v>1861</v>
      </c>
      <c r="D36" s="87" t="s">
        <v>102</v>
      </c>
      <c r="E36" s="87"/>
      <c r="F36" s="97" t="s">
        <v>103</v>
      </c>
      <c r="G36" s="87" t="s">
        <v>104</v>
      </c>
      <c r="H36" s="87"/>
      <c r="I36" s="87" t="s">
        <v>105</v>
      </c>
      <c r="J36" s="87" t="s">
        <v>1835</v>
      </c>
      <c r="K36" s="87" t="s">
        <v>106</v>
      </c>
      <c r="L36" s="92" t="s">
        <v>107</v>
      </c>
      <c r="M36" s="87" t="s">
        <v>397</v>
      </c>
      <c r="N36" s="87" t="s">
        <v>103</v>
      </c>
      <c r="O36" s="90" t="s">
        <v>1829</v>
      </c>
      <c r="P36" s="87" t="s">
        <v>108</v>
      </c>
      <c r="Q36" s="87" t="s">
        <v>39</v>
      </c>
      <c r="R36" s="87" t="s">
        <v>109</v>
      </c>
    </row>
    <row r="37" spans="1:18" ht="23" hidden="1" x14ac:dyDescent="0.35">
      <c r="A37" s="86" t="s">
        <v>570</v>
      </c>
      <c r="B37" s="79" t="s">
        <v>19</v>
      </c>
      <c r="C37" s="87" t="s">
        <v>1861</v>
      </c>
      <c r="D37" s="87" t="s">
        <v>571</v>
      </c>
      <c r="E37" s="87" t="s">
        <v>572</v>
      </c>
      <c r="F37" s="88" t="s">
        <v>21</v>
      </c>
      <c r="G37" s="87" t="s">
        <v>1878</v>
      </c>
      <c r="H37" s="87"/>
      <c r="I37" s="87" t="s">
        <v>573</v>
      </c>
      <c r="J37" s="87" t="s">
        <v>1848</v>
      </c>
      <c r="K37" s="87"/>
      <c r="L37" s="89" t="s">
        <v>23</v>
      </c>
      <c r="M37" s="87" t="s">
        <v>397</v>
      </c>
      <c r="N37" s="87" t="s">
        <v>21</v>
      </c>
      <c r="O37" s="90"/>
      <c r="P37" s="87"/>
      <c r="Q37" s="87" t="s">
        <v>24</v>
      </c>
      <c r="R37" s="87"/>
    </row>
    <row r="38" spans="1:18" ht="23" hidden="1" x14ac:dyDescent="0.35">
      <c r="A38" s="78" t="s">
        <v>585</v>
      </c>
      <c r="B38" s="79" t="s">
        <v>19</v>
      </c>
      <c r="C38" s="80" t="s">
        <v>1861</v>
      </c>
      <c r="D38" s="80" t="s">
        <v>586</v>
      </c>
      <c r="E38" s="80" t="s">
        <v>587</v>
      </c>
      <c r="F38" s="88" t="s">
        <v>21</v>
      </c>
      <c r="G38" s="80" t="s">
        <v>1879</v>
      </c>
      <c r="H38" s="80" t="s">
        <v>1879</v>
      </c>
      <c r="I38" s="80" t="s">
        <v>588</v>
      </c>
      <c r="J38" s="80" t="s">
        <v>1846</v>
      </c>
      <c r="K38" s="80" t="s">
        <v>589</v>
      </c>
      <c r="L38" s="82" t="s">
        <v>30</v>
      </c>
      <c r="M38" s="80"/>
      <c r="N38" s="80" t="s">
        <v>21</v>
      </c>
      <c r="O38" s="83"/>
      <c r="P38" s="80"/>
      <c r="Q38" s="80" t="s">
        <v>24</v>
      </c>
      <c r="R38" s="80"/>
    </row>
    <row r="39" spans="1:18" ht="23" hidden="1" x14ac:dyDescent="0.35">
      <c r="A39" s="86" t="s">
        <v>118</v>
      </c>
      <c r="B39" s="79" t="s">
        <v>19</v>
      </c>
      <c r="C39" s="87" t="s">
        <v>1861</v>
      </c>
      <c r="D39" s="87" t="s">
        <v>119</v>
      </c>
      <c r="E39" s="87" t="s">
        <v>120</v>
      </c>
      <c r="F39" s="88" t="s">
        <v>21</v>
      </c>
      <c r="G39" s="87" t="s">
        <v>1880</v>
      </c>
      <c r="H39" s="87"/>
      <c r="I39" s="87" t="s">
        <v>1881</v>
      </c>
      <c r="J39" s="87" t="s">
        <v>1864</v>
      </c>
      <c r="K39" s="87"/>
      <c r="L39" s="89" t="s">
        <v>23</v>
      </c>
      <c r="M39" s="87" t="s">
        <v>397</v>
      </c>
      <c r="N39" s="87" t="s">
        <v>21</v>
      </c>
      <c r="O39" s="90"/>
      <c r="P39" s="87"/>
      <c r="Q39" s="87" t="s">
        <v>24</v>
      </c>
      <c r="R39" s="87"/>
    </row>
    <row r="40" spans="1:18" ht="23" hidden="1" x14ac:dyDescent="0.35">
      <c r="A40" s="86" t="s">
        <v>670</v>
      </c>
      <c r="B40" s="79" t="s">
        <v>19</v>
      </c>
      <c r="C40" s="87" t="s">
        <v>1861</v>
      </c>
      <c r="D40" s="87" t="s">
        <v>671</v>
      </c>
      <c r="E40" s="87" t="s">
        <v>672</v>
      </c>
      <c r="F40" s="88" t="s">
        <v>21</v>
      </c>
      <c r="G40" s="87" t="s">
        <v>1882</v>
      </c>
      <c r="H40" s="87"/>
      <c r="I40" s="87" t="s">
        <v>1883</v>
      </c>
      <c r="J40" s="87" t="s">
        <v>1846</v>
      </c>
      <c r="K40" s="87"/>
      <c r="L40" s="89" t="s">
        <v>23</v>
      </c>
      <c r="M40" s="87" t="s">
        <v>397</v>
      </c>
      <c r="N40" s="87" t="s">
        <v>21</v>
      </c>
      <c r="O40" s="90"/>
      <c r="P40" s="87"/>
      <c r="Q40" s="87" t="s">
        <v>24</v>
      </c>
      <c r="R40" s="87"/>
    </row>
    <row r="41" spans="1:18" ht="34.5" hidden="1" x14ac:dyDescent="0.35">
      <c r="A41" s="86" t="s">
        <v>726</v>
      </c>
      <c r="B41" s="79" t="s">
        <v>19</v>
      </c>
      <c r="C41" s="87" t="s">
        <v>1861</v>
      </c>
      <c r="D41" s="87" t="s">
        <v>727</v>
      </c>
      <c r="E41" s="87" t="s">
        <v>728</v>
      </c>
      <c r="F41" s="88" t="s">
        <v>21</v>
      </c>
      <c r="G41" s="87" t="s">
        <v>1884</v>
      </c>
      <c r="H41" s="87" t="s">
        <v>1884</v>
      </c>
      <c r="I41" s="87" t="s">
        <v>729</v>
      </c>
      <c r="J41" s="87" t="s">
        <v>1858</v>
      </c>
      <c r="K41" s="87" t="s">
        <v>155</v>
      </c>
      <c r="L41" s="82" t="s">
        <v>30</v>
      </c>
      <c r="M41" s="87"/>
      <c r="N41" s="87" t="s">
        <v>21</v>
      </c>
      <c r="O41" s="90"/>
      <c r="P41" s="87"/>
      <c r="Q41" s="87" t="s">
        <v>24</v>
      </c>
      <c r="R41" s="87"/>
    </row>
    <row r="42" spans="1:18" ht="23" hidden="1" x14ac:dyDescent="0.35">
      <c r="A42" s="86" t="s">
        <v>183</v>
      </c>
      <c r="B42" s="79" t="s">
        <v>19</v>
      </c>
      <c r="C42" s="87" t="s">
        <v>1885</v>
      </c>
      <c r="D42" s="87" t="s">
        <v>184</v>
      </c>
      <c r="E42" s="87" t="s">
        <v>185</v>
      </c>
      <c r="F42" s="88" t="s">
        <v>21</v>
      </c>
      <c r="G42" s="87" t="s">
        <v>1886</v>
      </c>
      <c r="H42" s="87" t="s">
        <v>1886</v>
      </c>
      <c r="I42" s="87" t="s">
        <v>186</v>
      </c>
      <c r="J42" s="87" t="s">
        <v>1834</v>
      </c>
      <c r="K42" s="87" t="s">
        <v>187</v>
      </c>
      <c r="L42" s="82" t="s">
        <v>30</v>
      </c>
      <c r="M42" s="87"/>
      <c r="N42" s="87" t="s">
        <v>21</v>
      </c>
      <c r="O42" s="90"/>
      <c r="P42" s="87"/>
      <c r="Q42" s="87" t="s">
        <v>24</v>
      </c>
      <c r="R42" s="87"/>
    </row>
    <row r="43" spans="1:18" ht="23" hidden="1" x14ac:dyDescent="0.35">
      <c r="A43" s="86" t="s">
        <v>188</v>
      </c>
      <c r="B43" s="79" t="s">
        <v>19</v>
      </c>
      <c r="C43" s="87" t="s">
        <v>1885</v>
      </c>
      <c r="D43" s="87" t="s">
        <v>189</v>
      </c>
      <c r="E43" s="87" t="s">
        <v>190</v>
      </c>
      <c r="F43" s="88" t="s">
        <v>21</v>
      </c>
      <c r="G43" s="87" t="s">
        <v>1887</v>
      </c>
      <c r="H43" s="87"/>
      <c r="I43" s="87" t="s">
        <v>191</v>
      </c>
      <c r="J43" s="87" t="s">
        <v>1834</v>
      </c>
      <c r="K43" s="87"/>
      <c r="L43" s="89" t="s">
        <v>23</v>
      </c>
      <c r="M43" s="87" t="s">
        <v>397</v>
      </c>
      <c r="N43" s="87" t="s">
        <v>21</v>
      </c>
      <c r="O43" s="90"/>
      <c r="P43" s="87"/>
      <c r="Q43" s="87" t="s">
        <v>24</v>
      </c>
      <c r="R43" s="87"/>
    </row>
    <row r="44" spans="1:18" ht="23" hidden="1" x14ac:dyDescent="0.35">
      <c r="A44" s="78" t="s">
        <v>192</v>
      </c>
      <c r="B44" s="79" t="s">
        <v>19</v>
      </c>
      <c r="C44" s="80" t="s">
        <v>1885</v>
      </c>
      <c r="D44" s="80" t="s">
        <v>193</v>
      </c>
      <c r="E44" s="80" t="s">
        <v>194</v>
      </c>
      <c r="F44" s="88" t="s">
        <v>21</v>
      </c>
      <c r="G44" s="80" t="s">
        <v>1888</v>
      </c>
      <c r="H44" s="80"/>
      <c r="I44" s="80" t="s">
        <v>195</v>
      </c>
      <c r="J44" s="80" t="s">
        <v>1864</v>
      </c>
      <c r="K44" s="80"/>
      <c r="L44" s="89" t="s">
        <v>23</v>
      </c>
      <c r="M44" s="80" t="s">
        <v>397</v>
      </c>
      <c r="N44" s="80" t="s">
        <v>21</v>
      </c>
      <c r="O44" s="83"/>
      <c r="P44" s="80"/>
      <c r="Q44" s="80" t="s">
        <v>24</v>
      </c>
      <c r="R44" s="80"/>
    </row>
    <row r="45" spans="1:18" ht="23" hidden="1" x14ac:dyDescent="0.35">
      <c r="A45" s="86" t="s">
        <v>196</v>
      </c>
      <c r="B45" s="79" t="s">
        <v>19</v>
      </c>
      <c r="C45" s="87" t="s">
        <v>1885</v>
      </c>
      <c r="D45" s="87" t="s">
        <v>197</v>
      </c>
      <c r="E45" s="87" t="s">
        <v>198</v>
      </c>
      <c r="F45" s="88" t="s">
        <v>21</v>
      </c>
      <c r="G45" s="87" t="s">
        <v>1889</v>
      </c>
      <c r="H45" s="87"/>
      <c r="I45" s="87" t="s">
        <v>199</v>
      </c>
      <c r="J45" s="87" t="s">
        <v>1834</v>
      </c>
      <c r="K45" s="87"/>
      <c r="L45" s="89" t="s">
        <v>23</v>
      </c>
      <c r="M45" s="87" t="s">
        <v>397</v>
      </c>
      <c r="N45" s="87" t="s">
        <v>21</v>
      </c>
      <c r="O45" s="90"/>
      <c r="P45" s="87"/>
      <c r="Q45" s="87" t="s">
        <v>24</v>
      </c>
      <c r="R45" s="87"/>
    </row>
    <row r="46" spans="1:18" ht="34.5" hidden="1" x14ac:dyDescent="0.35">
      <c r="A46" s="78" t="s">
        <v>204</v>
      </c>
      <c r="B46" s="79" t="s">
        <v>19</v>
      </c>
      <c r="C46" s="80" t="s">
        <v>1885</v>
      </c>
      <c r="D46" s="80" t="s">
        <v>205</v>
      </c>
      <c r="E46" s="80" t="s">
        <v>206</v>
      </c>
      <c r="F46" s="88" t="s">
        <v>21</v>
      </c>
      <c r="G46" s="80" t="s">
        <v>1890</v>
      </c>
      <c r="H46" s="80" t="s">
        <v>207</v>
      </c>
      <c r="I46" s="80" t="s">
        <v>59</v>
      </c>
      <c r="J46" s="80" t="s">
        <v>1864</v>
      </c>
      <c r="K46" s="80" t="s">
        <v>60</v>
      </c>
      <c r="L46" s="94" t="s">
        <v>61</v>
      </c>
      <c r="M46" s="80"/>
      <c r="N46" s="80" t="s">
        <v>21</v>
      </c>
      <c r="O46" s="83"/>
      <c r="P46" s="80"/>
      <c r="Q46" s="80" t="s">
        <v>24</v>
      </c>
      <c r="R46" s="80"/>
    </row>
    <row r="47" spans="1:18" ht="23" hidden="1" x14ac:dyDescent="0.35">
      <c r="A47" s="86" t="s">
        <v>208</v>
      </c>
      <c r="B47" s="79" t="s">
        <v>19</v>
      </c>
      <c r="C47" s="87" t="s">
        <v>1885</v>
      </c>
      <c r="D47" s="87" t="s">
        <v>209</v>
      </c>
      <c r="E47" s="87" t="s">
        <v>210</v>
      </c>
      <c r="F47" s="88" t="s">
        <v>21</v>
      </c>
      <c r="G47" s="87" t="s">
        <v>1891</v>
      </c>
      <c r="H47" s="87"/>
      <c r="I47" s="87" t="s">
        <v>211</v>
      </c>
      <c r="J47" s="87" t="s">
        <v>1828</v>
      </c>
      <c r="K47" s="87" t="s">
        <v>85</v>
      </c>
      <c r="L47" s="82" t="s">
        <v>30</v>
      </c>
      <c r="M47" s="87"/>
      <c r="N47" s="87" t="s">
        <v>212</v>
      </c>
      <c r="O47" s="90"/>
      <c r="P47" s="87"/>
      <c r="Q47" s="87" t="s">
        <v>24</v>
      </c>
      <c r="R47" s="87"/>
    </row>
    <row r="48" spans="1:18" ht="23" hidden="1" x14ac:dyDescent="0.35">
      <c r="A48" s="78" t="s">
        <v>213</v>
      </c>
      <c r="B48" s="79" t="s">
        <v>19</v>
      </c>
      <c r="C48" s="80" t="s">
        <v>1885</v>
      </c>
      <c r="D48" s="80" t="s">
        <v>214</v>
      </c>
      <c r="E48" s="80" t="s">
        <v>215</v>
      </c>
      <c r="F48" s="88" t="s">
        <v>21</v>
      </c>
      <c r="G48" s="80" t="s">
        <v>1892</v>
      </c>
      <c r="H48" s="80"/>
      <c r="I48" s="80" t="s">
        <v>48</v>
      </c>
      <c r="J48" s="80" t="s">
        <v>1858</v>
      </c>
      <c r="K48" s="80"/>
      <c r="L48" s="89" t="s">
        <v>23</v>
      </c>
      <c r="M48" s="80" t="s">
        <v>397</v>
      </c>
      <c r="N48" s="80" t="s">
        <v>21</v>
      </c>
      <c r="O48" s="83"/>
      <c r="P48" s="80"/>
      <c r="Q48" s="80" t="s">
        <v>24</v>
      </c>
      <c r="R48" s="80"/>
    </row>
    <row r="49" spans="1:18" ht="23" hidden="1" x14ac:dyDescent="0.35">
      <c r="A49" s="86" t="s">
        <v>221</v>
      </c>
      <c r="B49" s="79" t="s">
        <v>19</v>
      </c>
      <c r="C49" s="87" t="s">
        <v>1885</v>
      </c>
      <c r="D49" s="87" t="s">
        <v>222</v>
      </c>
      <c r="E49" s="87" t="s">
        <v>223</v>
      </c>
      <c r="F49" s="88" t="s">
        <v>21</v>
      </c>
      <c r="G49" s="87" t="s">
        <v>1893</v>
      </c>
      <c r="H49" s="87"/>
      <c r="I49" s="87" t="s">
        <v>224</v>
      </c>
      <c r="J49" s="87" t="s">
        <v>1848</v>
      </c>
      <c r="K49" s="87"/>
      <c r="L49" s="89" t="s">
        <v>23</v>
      </c>
      <c r="M49" s="87" t="s">
        <v>397</v>
      </c>
      <c r="N49" s="87" t="s">
        <v>21</v>
      </c>
      <c r="O49" s="90"/>
      <c r="P49" s="87"/>
      <c r="Q49" s="87" t="s">
        <v>24</v>
      </c>
      <c r="R49" s="87"/>
    </row>
    <row r="50" spans="1:18" ht="23" hidden="1" x14ac:dyDescent="0.35">
      <c r="A50" s="78" t="s">
        <v>225</v>
      </c>
      <c r="B50" s="79" t="s">
        <v>19</v>
      </c>
      <c r="C50" s="80" t="s">
        <v>1885</v>
      </c>
      <c r="D50" s="80" t="s">
        <v>226</v>
      </c>
      <c r="E50" s="80" t="s">
        <v>227</v>
      </c>
      <c r="F50" s="88" t="s">
        <v>21</v>
      </c>
      <c r="G50" s="80" t="s">
        <v>1894</v>
      </c>
      <c r="H50" s="80"/>
      <c r="I50" s="80" t="s">
        <v>228</v>
      </c>
      <c r="J50" s="80" t="s">
        <v>1834</v>
      </c>
      <c r="K50" s="80"/>
      <c r="L50" s="89" t="s">
        <v>23</v>
      </c>
      <c r="M50" s="80" t="s">
        <v>397</v>
      </c>
      <c r="N50" s="80" t="s">
        <v>21</v>
      </c>
      <c r="O50" s="83"/>
      <c r="P50" s="80"/>
      <c r="Q50" s="80" t="s">
        <v>24</v>
      </c>
      <c r="R50" s="80"/>
    </row>
    <row r="51" spans="1:18" ht="23" hidden="1" x14ac:dyDescent="0.35">
      <c r="A51" s="78" t="s">
        <v>237</v>
      </c>
      <c r="B51" s="79" t="s">
        <v>19</v>
      </c>
      <c r="C51" s="80" t="s">
        <v>1885</v>
      </c>
      <c r="D51" s="80" t="s">
        <v>238</v>
      </c>
      <c r="E51" s="80" t="s">
        <v>239</v>
      </c>
      <c r="F51" s="88" t="s">
        <v>21</v>
      </c>
      <c r="G51" s="80" t="s">
        <v>1895</v>
      </c>
      <c r="H51" s="80" t="s">
        <v>1895</v>
      </c>
      <c r="I51" s="80" t="s">
        <v>1896</v>
      </c>
      <c r="J51" s="80" t="s">
        <v>1858</v>
      </c>
      <c r="K51" s="80" t="s">
        <v>155</v>
      </c>
      <c r="L51" s="82" t="s">
        <v>30</v>
      </c>
      <c r="M51" s="80"/>
      <c r="N51" s="80" t="s">
        <v>21</v>
      </c>
      <c r="O51" s="83"/>
      <c r="P51" s="80"/>
      <c r="Q51" s="80" t="s">
        <v>24</v>
      </c>
      <c r="R51" s="80"/>
    </row>
    <row r="52" spans="1:18" ht="34.5" hidden="1" x14ac:dyDescent="0.35">
      <c r="A52" s="86" t="s">
        <v>244</v>
      </c>
      <c r="B52" s="79" t="s">
        <v>19</v>
      </c>
      <c r="C52" s="87" t="s">
        <v>1885</v>
      </c>
      <c r="D52" s="87" t="s">
        <v>245</v>
      </c>
      <c r="E52" s="87"/>
      <c r="F52" s="98" t="s">
        <v>76</v>
      </c>
      <c r="G52" s="87" t="s">
        <v>246</v>
      </c>
      <c r="H52" s="87"/>
      <c r="I52" s="87" t="s">
        <v>247</v>
      </c>
      <c r="J52" s="87" t="s">
        <v>1867</v>
      </c>
      <c r="K52" s="87" t="s">
        <v>78</v>
      </c>
      <c r="L52" s="85" t="s">
        <v>79</v>
      </c>
      <c r="M52" s="87" t="s">
        <v>397</v>
      </c>
      <c r="N52" s="87" t="s">
        <v>76</v>
      </c>
      <c r="O52" s="90" t="s">
        <v>1829</v>
      </c>
      <c r="P52" s="87" t="s">
        <v>173</v>
      </c>
      <c r="Q52" s="87" t="s">
        <v>39</v>
      </c>
      <c r="R52" s="87" t="s">
        <v>248</v>
      </c>
    </row>
    <row r="53" spans="1:18" ht="34.5" hidden="1" x14ac:dyDescent="0.35">
      <c r="A53" s="78" t="s">
        <v>249</v>
      </c>
      <c r="B53" s="79" t="s">
        <v>19</v>
      </c>
      <c r="C53" s="80" t="s">
        <v>1885</v>
      </c>
      <c r="D53" s="80" t="s">
        <v>250</v>
      </c>
      <c r="E53" s="80" t="s">
        <v>251</v>
      </c>
      <c r="F53" s="88" t="s">
        <v>21</v>
      </c>
      <c r="G53" s="80" t="s">
        <v>1897</v>
      </c>
      <c r="H53" s="80" t="s">
        <v>1897</v>
      </c>
      <c r="I53" s="80" t="s">
        <v>1898</v>
      </c>
      <c r="J53" s="80" t="s">
        <v>1864</v>
      </c>
      <c r="K53" s="80" t="s">
        <v>252</v>
      </c>
      <c r="L53" s="82" t="s">
        <v>30</v>
      </c>
      <c r="M53" s="80"/>
      <c r="N53" s="80" t="s">
        <v>21</v>
      </c>
      <c r="O53" s="83"/>
      <c r="P53" s="80"/>
      <c r="Q53" s="80" t="s">
        <v>24</v>
      </c>
      <c r="R53" s="80"/>
    </row>
    <row r="54" spans="1:18" ht="34.5" hidden="1" x14ac:dyDescent="0.35">
      <c r="A54" s="86" t="s">
        <v>253</v>
      </c>
      <c r="B54" s="79" t="s">
        <v>19</v>
      </c>
      <c r="C54" s="87" t="s">
        <v>1885</v>
      </c>
      <c r="D54" s="87" t="s">
        <v>254</v>
      </c>
      <c r="E54" s="87" t="s">
        <v>255</v>
      </c>
      <c r="F54" s="88" t="s">
        <v>21</v>
      </c>
      <c r="G54" s="87" t="s">
        <v>1899</v>
      </c>
      <c r="H54" s="87"/>
      <c r="I54" s="87" t="s">
        <v>256</v>
      </c>
      <c r="J54" s="87" t="s">
        <v>1837</v>
      </c>
      <c r="K54" s="87"/>
      <c r="L54" s="89" t="s">
        <v>23</v>
      </c>
      <c r="M54" s="87" t="s">
        <v>397</v>
      </c>
      <c r="N54" s="87" t="s">
        <v>90</v>
      </c>
      <c r="O54" s="90"/>
      <c r="P54" s="87"/>
      <c r="Q54" s="87" t="s">
        <v>24</v>
      </c>
      <c r="R54" s="87"/>
    </row>
    <row r="55" spans="1:18" ht="23" hidden="1" x14ac:dyDescent="0.35">
      <c r="A55" s="78" t="s">
        <v>257</v>
      </c>
      <c r="B55" s="79" t="s">
        <v>19</v>
      </c>
      <c r="C55" s="80" t="s">
        <v>1885</v>
      </c>
      <c r="D55" s="80" t="s">
        <v>258</v>
      </c>
      <c r="E55" s="80"/>
      <c r="F55" s="98" t="s">
        <v>76</v>
      </c>
      <c r="G55" s="80" t="s">
        <v>259</v>
      </c>
      <c r="H55" s="80"/>
      <c r="I55" s="80" t="s">
        <v>260</v>
      </c>
      <c r="J55" s="80" t="s">
        <v>1867</v>
      </c>
      <c r="K55" s="80" t="s">
        <v>106</v>
      </c>
      <c r="L55" s="92" t="s">
        <v>107</v>
      </c>
      <c r="M55" s="80" t="s">
        <v>397</v>
      </c>
      <c r="N55" s="80" t="s">
        <v>76</v>
      </c>
      <c r="O55" s="83" t="s">
        <v>1829</v>
      </c>
      <c r="P55" s="80" t="s">
        <v>173</v>
      </c>
      <c r="Q55" s="80" t="s">
        <v>39</v>
      </c>
      <c r="R55" s="80" t="s">
        <v>261</v>
      </c>
    </row>
    <row r="56" spans="1:18" ht="23" hidden="1" x14ac:dyDescent="0.35">
      <c r="A56" s="86" t="s">
        <v>659</v>
      </c>
      <c r="B56" s="79" t="s">
        <v>19</v>
      </c>
      <c r="C56" s="87" t="s">
        <v>1885</v>
      </c>
      <c r="D56" s="87" t="s">
        <v>660</v>
      </c>
      <c r="E56" s="87" t="s">
        <v>661</v>
      </c>
      <c r="F56" s="88" t="s">
        <v>21</v>
      </c>
      <c r="G56" s="87" t="s">
        <v>1900</v>
      </c>
      <c r="H56" s="87"/>
      <c r="I56" s="87" t="s">
        <v>662</v>
      </c>
      <c r="J56" s="87" t="s">
        <v>1828</v>
      </c>
      <c r="K56" s="87" t="s">
        <v>663</v>
      </c>
      <c r="L56" s="82" t="s">
        <v>30</v>
      </c>
      <c r="M56" s="87"/>
      <c r="N56" s="87" t="s">
        <v>21</v>
      </c>
      <c r="O56" s="90"/>
      <c r="P56" s="87"/>
      <c r="Q56" s="87" t="s">
        <v>24</v>
      </c>
      <c r="R56" s="87"/>
    </row>
    <row r="57" spans="1:18" ht="23" hidden="1" x14ac:dyDescent="0.35">
      <c r="A57" s="78" t="s">
        <v>270</v>
      </c>
      <c r="B57" s="79" t="s">
        <v>19</v>
      </c>
      <c r="C57" s="80" t="s">
        <v>1885</v>
      </c>
      <c r="D57" s="80" t="s">
        <v>271</v>
      </c>
      <c r="E57" s="80" t="s">
        <v>239</v>
      </c>
      <c r="F57" s="88" t="s">
        <v>21</v>
      </c>
      <c r="G57" s="80" t="s">
        <v>1901</v>
      </c>
      <c r="H57" s="80" t="s">
        <v>1901</v>
      </c>
      <c r="I57" s="80" t="s">
        <v>1896</v>
      </c>
      <c r="J57" s="80" t="s">
        <v>1858</v>
      </c>
      <c r="K57" s="80" t="s">
        <v>272</v>
      </c>
      <c r="L57" s="99" t="s">
        <v>273</v>
      </c>
      <c r="M57" s="80"/>
      <c r="N57" s="80" t="s">
        <v>21</v>
      </c>
      <c r="O57" s="83"/>
      <c r="P57" s="80"/>
      <c r="Q57" s="80" t="s">
        <v>24</v>
      </c>
      <c r="R57" s="80"/>
    </row>
    <row r="58" spans="1:18" ht="23" hidden="1" x14ac:dyDescent="0.35">
      <c r="A58" s="86" t="s">
        <v>743</v>
      </c>
      <c r="B58" s="79" t="s">
        <v>19</v>
      </c>
      <c r="C58" s="87" t="s">
        <v>1885</v>
      </c>
      <c r="D58" s="87" t="s">
        <v>744</v>
      </c>
      <c r="E58" s="87" t="s">
        <v>745</v>
      </c>
      <c r="F58" s="88" t="s">
        <v>21</v>
      </c>
      <c r="G58" s="87" t="s">
        <v>1902</v>
      </c>
      <c r="H58" s="87" t="s">
        <v>1902</v>
      </c>
      <c r="I58" s="87" t="s">
        <v>588</v>
      </c>
      <c r="J58" s="87" t="s">
        <v>1846</v>
      </c>
      <c r="K58" s="87" t="s">
        <v>220</v>
      </c>
      <c r="L58" s="82" t="s">
        <v>30</v>
      </c>
      <c r="M58" s="87"/>
      <c r="N58" s="87" t="s">
        <v>21</v>
      </c>
      <c r="O58" s="90"/>
      <c r="P58" s="87"/>
      <c r="Q58" s="87" t="s">
        <v>24</v>
      </c>
      <c r="R58" s="87"/>
    </row>
    <row r="59" spans="1:18" ht="23" hidden="1" x14ac:dyDescent="0.35">
      <c r="A59" s="86" t="s">
        <v>446</v>
      </c>
      <c r="B59" s="79" t="s">
        <v>19</v>
      </c>
      <c r="C59" s="87" t="s">
        <v>1903</v>
      </c>
      <c r="D59" s="87" t="s">
        <v>447</v>
      </c>
      <c r="E59" s="87"/>
      <c r="F59" s="96" t="s">
        <v>93</v>
      </c>
      <c r="G59" s="87" t="s">
        <v>1904</v>
      </c>
      <c r="H59" s="87"/>
      <c r="I59" s="87"/>
      <c r="J59" s="87"/>
      <c r="K59" s="87"/>
      <c r="L59" s="89" t="s">
        <v>23</v>
      </c>
      <c r="M59" s="87" t="s">
        <v>397</v>
      </c>
      <c r="N59" s="87"/>
      <c r="O59" s="90"/>
      <c r="P59" s="87"/>
      <c r="Q59" s="87" t="s">
        <v>95</v>
      </c>
      <c r="R59" s="87"/>
    </row>
    <row r="60" spans="1:18" ht="34.5" x14ac:dyDescent="0.35">
      <c r="A60" s="78" t="s">
        <v>469</v>
      </c>
      <c r="B60" s="79" t="s">
        <v>19</v>
      </c>
      <c r="C60" s="80" t="s">
        <v>1903</v>
      </c>
      <c r="D60" s="80" t="s">
        <v>470</v>
      </c>
      <c r="E60" s="80"/>
      <c r="F60" s="98" t="s">
        <v>76</v>
      </c>
      <c r="G60" s="80" t="s">
        <v>1905</v>
      </c>
      <c r="H60" s="80"/>
      <c r="I60" s="80" t="s">
        <v>471</v>
      </c>
      <c r="J60" s="80" t="s">
        <v>1906</v>
      </c>
      <c r="K60" s="80" t="s">
        <v>78</v>
      </c>
      <c r="L60" s="85" t="s">
        <v>79</v>
      </c>
      <c r="M60" s="80" t="s">
        <v>397</v>
      </c>
      <c r="N60" s="80" t="s">
        <v>76</v>
      </c>
      <c r="O60" s="100" t="s">
        <v>1907</v>
      </c>
      <c r="P60" s="80" t="s">
        <v>414</v>
      </c>
      <c r="Q60" s="80" t="s">
        <v>39</v>
      </c>
      <c r="R60" s="80" t="s">
        <v>472</v>
      </c>
    </row>
    <row r="61" spans="1:18" ht="23" hidden="1" x14ac:dyDescent="0.35">
      <c r="A61" s="78" t="s">
        <v>74</v>
      </c>
      <c r="B61" s="79" t="s">
        <v>19</v>
      </c>
      <c r="C61" s="80" t="s">
        <v>1903</v>
      </c>
      <c r="D61" s="80" t="s">
        <v>75</v>
      </c>
      <c r="E61" s="80"/>
      <c r="F61" s="98" t="s">
        <v>76</v>
      </c>
      <c r="G61" s="80" t="s">
        <v>77</v>
      </c>
      <c r="H61" s="80"/>
      <c r="I61" s="80" t="s">
        <v>1908</v>
      </c>
      <c r="J61" s="80" t="s">
        <v>1828</v>
      </c>
      <c r="K61" s="80" t="s">
        <v>78</v>
      </c>
      <c r="L61" s="85" t="s">
        <v>79</v>
      </c>
      <c r="M61" s="80" t="s">
        <v>397</v>
      </c>
      <c r="N61" s="80" t="s">
        <v>76</v>
      </c>
      <c r="O61" s="83" t="s">
        <v>1829</v>
      </c>
      <c r="P61" s="80" t="s">
        <v>38</v>
      </c>
      <c r="Q61" s="80" t="s">
        <v>39</v>
      </c>
      <c r="R61" s="80" t="s">
        <v>80</v>
      </c>
    </row>
    <row r="62" spans="1:18" ht="23" hidden="1" x14ac:dyDescent="0.35">
      <c r="A62" s="86" t="s">
        <v>200</v>
      </c>
      <c r="B62" s="79" t="s">
        <v>19</v>
      </c>
      <c r="C62" s="87" t="s">
        <v>1903</v>
      </c>
      <c r="D62" s="87" t="s">
        <v>201</v>
      </c>
      <c r="E62" s="87" t="s">
        <v>202</v>
      </c>
      <c r="F62" s="88" t="s">
        <v>21</v>
      </c>
      <c r="G62" s="87" t="s">
        <v>1909</v>
      </c>
      <c r="H62" s="87" t="s">
        <v>1909</v>
      </c>
      <c r="I62" s="87" t="s">
        <v>44</v>
      </c>
      <c r="J62" s="87" t="s">
        <v>1864</v>
      </c>
      <c r="K62" s="87" t="s">
        <v>203</v>
      </c>
      <c r="L62" s="82" t="s">
        <v>30</v>
      </c>
      <c r="M62" s="87"/>
      <c r="N62" s="87" t="s">
        <v>21</v>
      </c>
      <c r="O62" s="90"/>
      <c r="P62" s="87"/>
      <c r="Q62" s="87" t="s">
        <v>24</v>
      </c>
      <c r="R62" s="87"/>
    </row>
    <row r="63" spans="1:18" ht="23" hidden="1" x14ac:dyDescent="0.35">
      <c r="A63" s="78" t="s">
        <v>233</v>
      </c>
      <c r="B63" s="79" t="s">
        <v>19</v>
      </c>
      <c r="C63" s="80" t="s">
        <v>1903</v>
      </c>
      <c r="D63" s="80" t="s">
        <v>234</v>
      </c>
      <c r="E63" s="80" t="s">
        <v>235</v>
      </c>
      <c r="F63" s="88" t="s">
        <v>21</v>
      </c>
      <c r="G63" s="80" t="s">
        <v>1910</v>
      </c>
      <c r="H63" s="80" t="s">
        <v>1910</v>
      </c>
      <c r="I63" s="80" t="s">
        <v>1911</v>
      </c>
      <c r="J63" s="80" t="s">
        <v>1834</v>
      </c>
      <c r="K63" s="80" t="s">
        <v>236</v>
      </c>
      <c r="L63" s="82" t="s">
        <v>30</v>
      </c>
      <c r="M63" s="80"/>
      <c r="N63" s="80" t="s">
        <v>21</v>
      </c>
      <c r="O63" s="83"/>
      <c r="P63" s="80"/>
      <c r="Q63" s="80" t="s">
        <v>24</v>
      </c>
      <c r="R63" s="80"/>
    </row>
    <row r="64" spans="1:18" ht="23" hidden="1" x14ac:dyDescent="0.35">
      <c r="A64" s="78" t="s">
        <v>482</v>
      </c>
      <c r="B64" s="79" t="s">
        <v>19</v>
      </c>
      <c r="C64" s="80" t="s">
        <v>1903</v>
      </c>
      <c r="D64" s="80" t="s">
        <v>483</v>
      </c>
      <c r="E64" s="80"/>
      <c r="F64" s="101" t="s">
        <v>1912</v>
      </c>
      <c r="G64" s="80" t="s">
        <v>484</v>
      </c>
      <c r="H64" s="80" t="s">
        <v>485</v>
      </c>
      <c r="I64" s="80"/>
      <c r="J64" s="80"/>
      <c r="K64" s="80" t="s">
        <v>302</v>
      </c>
      <c r="L64" s="102" t="s">
        <v>280</v>
      </c>
      <c r="M64" s="80" t="s">
        <v>307</v>
      </c>
      <c r="N64" s="80"/>
      <c r="O64" s="83"/>
      <c r="P64" s="80"/>
      <c r="Q64" s="80" t="s">
        <v>486</v>
      </c>
      <c r="R64" s="80"/>
    </row>
    <row r="65" spans="1:18" ht="23" hidden="1" x14ac:dyDescent="0.35">
      <c r="A65" s="78" t="s">
        <v>518</v>
      </c>
      <c r="B65" s="79" t="s">
        <v>19</v>
      </c>
      <c r="C65" s="80" t="s">
        <v>1903</v>
      </c>
      <c r="D65" s="80" t="s">
        <v>519</v>
      </c>
      <c r="E65" s="80"/>
      <c r="F65" s="101" t="s">
        <v>1912</v>
      </c>
      <c r="G65" s="80" t="s">
        <v>520</v>
      </c>
      <c r="H65" s="80" t="s">
        <v>521</v>
      </c>
      <c r="I65" s="80"/>
      <c r="J65" s="80"/>
      <c r="K65" s="80" t="s">
        <v>302</v>
      </c>
      <c r="L65" s="102" t="s">
        <v>280</v>
      </c>
      <c r="M65" s="80" t="s">
        <v>522</v>
      </c>
      <c r="N65" s="80" t="s">
        <v>290</v>
      </c>
      <c r="O65" s="83"/>
      <c r="P65" s="80"/>
      <c r="Q65" s="80" t="s">
        <v>523</v>
      </c>
      <c r="R65" s="80"/>
    </row>
    <row r="66" spans="1:18" ht="23" hidden="1" x14ac:dyDescent="0.35">
      <c r="A66" s="86" t="s">
        <v>524</v>
      </c>
      <c r="B66" s="79" t="s">
        <v>19</v>
      </c>
      <c r="C66" s="87" t="s">
        <v>1903</v>
      </c>
      <c r="D66" s="87" t="s">
        <v>525</v>
      </c>
      <c r="E66" s="87"/>
      <c r="F66" s="101" t="s">
        <v>1912</v>
      </c>
      <c r="G66" s="87" t="s">
        <v>526</v>
      </c>
      <c r="H66" s="87" t="s">
        <v>527</v>
      </c>
      <c r="I66" s="87"/>
      <c r="J66" s="87"/>
      <c r="K66" s="87" t="s">
        <v>302</v>
      </c>
      <c r="L66" s="102" t="s">
        <v>280</v>
      </c>
      <c r="M66" s="87" t="s">
        <v>528</v>
      </c>
      <c r="N66" s="87" t="s">
        <v>290</v>
      </c>
      <c r="O66" s="90"/>
      <c r="P66" s="87"/>
      <c r="Q66" s="87" t="s">
        <v>523</v>
      </c>
      <c r="R66" s="87"/>
    </row>
    <row r="67" spans="1:18" ht="23" hidden="1" x14ac:dyDescent="0.35">
      <c r="A67" s="78" t="s">
        <v>529</v>
      </c>
      <c r="B67" s="79" t="s">
        <v>19</v>
      </c>
      <c r="C67" s="80" t="s">
        <v>1903</v>
      </c>
      <c r="D67" s="80" t="s">
        <v>530</v>
      </c>
      <c r="E67" s="80"/>
      <c r="F67" s="101" t="s">
        <v>1912</v>
      </c>
      <c r="G67" s="80" t="s">
        <v>531</v>
      </c>
      <c r="H67" s="80" t="s">
        <v>532</v>
      </c>
      <c r="I67" s="80"/>
      <c r="J67" s="80"/>
      <c r="K67" s="80" t="s">
        <v>302</v>
      </c>
      <c r="L67" s="102" t="s">
        <v>280</v>
      </c>
      <c r="M67" s="80" t="s">
        <v>533</v>
      </c>
      <c r="N67" s="80" t="s">
        <v>290</v>
      </c>
      <c r="O67" s="83"/>
      <c r="P67" s="80"/>
      <c r="Q67" s="80" t="s">
        <v>523</v>
      </c>
      <c r="R67" s="80"/>
    </row>
    <row r="68" spans="1:18" ht="23" hidden="1" x14ac:dyDescent="0.35">
      <c r="A68" s="86" t="s">
        <v>534</v>
      </c>
      <c r="B68" s="79" t="s">
        <v>19</v>
      </c>
      <c r="C68" s="87" t="s">
        <v>1903</v>
      </c>
      <c r="D68" s="87" t="s">
        <v>535</v>
      </c>
      <c r="E68" s="87"/>
      <c r="F68" s="101" t="s">
        <v>1912</v>
      </c>
      <c r="G68" s="87" t="s">
        <v>536</v>
      </c>
      <c r="H68" s="87" t="s">
        <v>537</v>
      </c>
      <c r="I68" s="87"/>
      <c r="J68" s="87"/>
      <c r="K68" s="87" t="s">
        <v>385</v>
      </c>
      <c r="L68" s="103" t="s">
        <v>386</v>
      </c>
      <c r="M68" s="87" t="s">
        <v>528</v>
      </c>
      <c r="N68" s="87" t="s">
        <v>538</v>
      </c>
      <c r="O68" s="90"/>
      <c r="P68" s="87"/>
      <c r="Q68" s="87" t="s">
        <v>486</v>
      </c>
      <c r="R68" s="87"/>
    </row>
    <row r="69" spans="1:18" ht="23" hidden="1" x14ac:dyDescent="0.35">
      <c r="A69" s="86" t="s">
        <v>543</v>
      </c>
      <c r="B69" s="79" t="s">
        <v>19</v>
      </c>
      <c r="C69" s="87" t="s">
        <v>1903</v>
      </c>
      <c r="D69" s="87" t="s">
        <v>544</v>
      </c>
      <c r="E69" s="87"/>
      <c r="F69" s="101" t="s">
        <v>1912</v>
      </c>
      <c r="G69" s="87" t="s">
        <v>545</v>
      </c>
      <c r="H69" s="87" t="s">
        <v>546</v>
      </c>
      <c r="I69" s="87"/>
      <c r="J69" s="87"/>
      <c r="K69" s="87" t="s">
        <v>302</v>
      </c>
      <c r="L69" s="102" t="s">
        <v>280</v>
      </c>
      <c r="M69" s="87" t="s">
        <v>547</v>
      </c>
      <c r="N69" s="87" t="s">
        <v>290</v>
      </c>
      <c r="O69" s="90"/>
      <c r="P69" s="87"/>
      <c r="Q69" s="87" t="s">
        <v>509</v>
      </c>
      <c r="R69" s="87"/>
    </row>
    <row r="70" spans="1:18" ht="23" hidden="1" x14ac:dyDescent="0.35">
      <c r="A70" s="78" t="s">
        <v>565</v>
      </c>
      <c r="B70" s="79" t="s">
        <v>19</v>
      </c>
      <c r="C70" s="80" t="s">
        <v>1903</v>
      </c>
      <c r="D70" s="80" t="s">
        <v>566</v>
      </c>
      <c r="E70" s="80"/>
      <c r="F70" s="101" t="s">
        <v>1912</v>
      </c>
      <c r="G70" s="80" t="s">
        <v>567</v>
      </c>
      <c r="H70" s="80" t="s">
        <v>568</v>
      </c>
      <c r="I70" s="80"/>
      <c r="J70" s="80"/>
      <c r="K70" s="80" t="s">
        <v>302</v>
      </c>
      <c r="L70" s="102" t="s">
        <v>280</v>
      </c>
      <c r="M70" s="80" t="s">
        <v>569</v>
      </c>
      <c r="N70" s="80" t="s">
        <v>290</v>
      </c>
      <c r="O70" s="83"/>
      <c r="P70" s="80"/>
      <c r="Q70" s="80" t="s">
        <v>523</v>
      </c>
      <c r="R70" s="80"/>
    </row>
    <row r="71" spans="1:18" ht="23" hidden="1" x14ac:dyDescent="0.35">
      <c r="A71" s="86" t="s">
        <v>581</v>
      </c>
      <c r="B71" s="79" t="s">
        <v>19</v>
      </c>
      <c r="C71" s="87" t="s">
        <v>1903</v>
      </c>
      <c r="D71" s="87" t="s">
        <v>582</v>
      </c>
      <c r="E71" s="87" t="s">
        <v>583</v>
      </c>
      <c r="F71" s="88" t="s">
        <v>21</v>
      </c>
      <c r="G71" s="87" t="s">
        <v>1913</v>
      </c>
      <c r="H71" s="87" t="s">
        <v>1913</v>
      </c>
      <c r="I71" s="87" t="s">
        <v>1914</v>
      </c>
      <c r="J71" s="87" t="s">
        <v>1834</v>
      </c>
      <c r="K71" s="87" t="s">
        <v>584</v>
      </c>
      <c r="L71" s="82" t="s">
        <v>30</v>
      </c>
      <c r="M71" s="87"/>
      <c r="N71" s="87" t="s">
        <v>21</v>
      </c>
      <c r="O71" s="90"/>
      <c r="P71" s="87"/>
      <c r="Q71" s="87" t="s">
        <v>24</v>
      </c>
      <c r="R71" s="87"/>
    </row>
    <row r="72" spans="1:18" ht="34.5" hidden="1" x14ac:dyDescent="0.35">
      <c r="A72" s="86" t="s">
        <v>590</v>
      </c>
      <c r="B72" s="79" t="s">
        <v>19</v>
      </c>
      <c r="C72" s="87" t="s">
        <v>1903</v>
      </c>
      <c r="D72" s="87" t="s">
        <v>591</v>
      </c>
      <c r="E72" s="87" t="s">
        <v>592</v>
      </c>
      <c r="F72" s="88" t="s">
        <v>21</v>
      </c>
      <c r="G72" s="87" t="s">
        <v>1915</v>
      </c>
      <c r="H72" s="87" t="s">
        <v>1915</v>
      </c>
      <c r="I72" s="87" t="s">
        <v>593</v>
      </c>
      <c r="J72" s="87" t="s">
        <v>1848</v>
      </c>
      <c r="K72" s="87" t="s">
        <v>232</v>
      </c>
      <c r="L72" s="82" t="s">
        <v>30</v>
      </c>
      <c r="M72" s="87"/>
      <c r="N72" s="87" t="s">
        <v>21</v>
      </c>
      <c r="O72" s="90"/>
      <c r="P72" s="87"/>
      <c r="Q72" s="87" t="s">
        <v>24</v>
      </c>
      <c r="R72" s="87"/>
    </row>
    <row r="73" spans="1:18" ht="23" hidden="1" x14ac:dyDescent="0.35">
      <c r="A73" s="78" t="s">
        <v>607</v>
      </c>
      <c r="B73" s="79" t="s">
        <v>19</v>
      </c>
      <c r="C73" s="80" t="s">
        <v>1903</v>
      </c>
      <c r="D73" s="80" t="s">
        <v>608</v>
      </c>
      <c r="E73" s="80" t="s">
        <v>609</v>
      </c>
      <c r="F73" s="88" t="s">
        <v>21</v>
      </c>
      <c r="G73" s="80" t="s">
        <v>1916</v>
      </c>
      <c r="H73" s="80" t="s">
        <v>1916</v>
      </c>
      <c r="I73" s="80" t="s">
        <v>1917</v>
      </c>
      <c r="J73" s="80" t="s">
        <v>1858</v>
      </c>
      <c r="K73" s="80" t="s">
        <v>610</v>
      </c>
      <c r="L73" s="82" t="s">
        <v>30</v>
      </c>
      <c r="M73" s="80"/>
      <c r="N73" s="80" t="s">
        <v>21</v>
      </c>
      <c r="O73" s="83"/>
      <c r="P73" s="80"/>
      <c r="Q73" s="80" t="s">
        <v>24</v>
      </c>
      <c r="R73" s="80"/>
    </row>
    <row r="74" spans="1:18" ht="34.5" hidden="1" x14ac:dyDescent="0.35">
      <c r="A74" s="78" t="s">
        <v>611</v>
      </c>
      <c r="B74" s="79" t="s">
        <v>19</v>
      </c>
      <c r="C74" s="80" t="s">
        <v>1903</v>
      </c>
      <c r="D74" s="80" t="s">
        <v>612</v>
      </c>
      <c r="E74" s="80"/>
      <c r="F74" s="101" t="s">
        <v>1912</v>
      </c>
      <c r="G74" s="80" t="s">
        <v>613</v>
      </c>
      <c r="H74" s="80" t="s">
        <v>614</v>
      </c>
      <c r="I74" s="80"/>
      <c r="J74" s="80"/>
      <c r="K74" s="80" t="s">
        <v>302</v>
      </c>
      <c r="L74" s="102" t="s">
        <v>280</v>
      </c>
      <c r="M74" s="80" t="s">
        <v>387</v>
      </c>
      <c r="N74" s="80" t="s">
        <v>290</v>
      </c>
      <c r="O74" s="83"/>
      <c r="P74" s="80"/>
      <c r="Q74" s="80" t="s">
        <v>523</v>
      </c>
      <c r="R74" s="80"/>
    </row>
    <row r="75" spans="1:18" ht="23" hidden="1" x14ac:dyDescent="0.35">
      <c r="A75" s="86" t="s">
        <v>619</v>
      </c>
      <c r="B75" s="79" t="s">
        <v>19</v>
      </c>
      <c r="C75" s="87" t="s">
        <v>1903</v>
      </c>
      <c r="D75" s="87" t="s">
        <v>620</v>
      </c>
      <c r="E75" s="87"/>
      <c r="F75" s="101" t="s">
        <v>1912</v>
      </c>
      <c r="G75" s="87" t="s">
        <v>621</v>
      </c>
      <c r="H75" s="87" t="s">
        <v>622</v>
      </c>
      <c r="I75" s="87"/>
      <c r="J75" s="87"/>
      <c r="K75" s="87" t="s">
        <v>302</v>
      </c>
      <c r="L75" s="102" t="s">
        <v>280</v>
      </c>
      <c r="M75" s="87" t="s">
        <v>338</v>
      </c>
      <c r="N75" s="87" t="s">
        <v>290</v>
      </c>
      <c r="O75" s="90"/>
      <c r="P75" s="87"/>
      <c r="Q75" s="87" t="s">
        <v>491</v>
      </c>
      <c r="R75" s="87"/>
    </row>
    <row r="76" spans="1:18" ht="23" hidden="1" x14ac:dyDescent="0.35">
      <c r="A76" s="78" t="s">
        <v>623</v>
      </c>
      <c r="B76" s="79" t="s">
        <v>19</v>
      </c>
      <c r="C76" s="80" t="s">
        <v>1903</v>
      </c>
      <c r="D76" s="80" t="s">
        <v>624</v>
      </c>
      <c r="E76" s="80"/>
      <c r="F76" s="101" t="s">
        <v>1912</v>
      </c>
      <c r="G76" s="80" t="s">
        <v>625</v>
      </c>
      <c r="H76" s="80" t="s">
        <v>626</v>
      </c>
      <c r="I76" s="80"/>
      <c r="J76" s="80"/>
      <c r="K76" s="80" t="s">
        <v>302</v>
      </c>
      <c r="L76" s="102" t="s">
        <v>280</v>
      </c>
      <c r="M76" s="80" t="s">
        <v>533</v>
      </c>
      <c r="N76" s="80" t="s">
        <v>290</v>
      </c>
      <c r="O76" s="83"/>
      <c r="P76" s="80"/>
      <c r="Q76" s="80" t="s">
        <v>491</v>
      </c>
      <c r="R76" s="80"/>
    </row>
    <row r="77" spans="1:18" ht="23" hidden="1" x14ac:dyDescent="0.35">
      <c r="A77" s="78" t="s">
        <v>644</v>
      </c>
      <c r="B77" s="79" t="s">
        <v>19</v>
      </c>
      <c r="C77" s="80" t="s">
        <v>1903</v>
      </c>
      <c r="D77" s="80" t="s">
        <v>645</v>
      </c>
      <c r="E77" s="80"/>
      <c r="F77" s="101" t="s">
        <v>1912</v>
      </c>
      <c r="G77" s="80" t="s">
        <v>646</v>
      </c>
      <c r="H77" s="80" t="s">
        <v>647</v>
      </c>
      <c r="I77" s="80"/>
      <c r="J77" s="80"/>
      <c r="K77" s="80" t="s">
        <v>388</v>
      </c>
      <c r="L77" s="94" t="s">
        <v>61</v>
      </c>
      <c r="M77" s="80" t="s">
        <v>528</v>
      </c>
      <c r="N77" s="80" t="s">
        <v>290</v>
      </c>
      <c r="O77" s="83"/>
      <c r="P77" s="80"/>
      <c r="Q77" s="80" t="s">
        <v>491</v>
      </c>
      <c r="R77" s="80"/>
    </row>
    <row r="78" spans="1:18" ht="23" hidden="1" x14ac:dyDescent="0.35">
      <c r="A78" s="86" t="s">
        <v>648</v>
      </c>
      <c r="B78" s="79" t="s">
        <v>19</v>
      </c>
      <c r="C78" s="87" t="s">
        <v>1903</v>
      </c>
      <c r="D78" s="87" t="s">
        <v>649</v>
      </c>
      <c r="E78" s="87" t="s">
        <v>650</v>
      </c>
      <c r="F78" s="88" t="s">
        <v>21</v>
      </c>
      <c r="G78" s="87" t="s">
        <v>1918</v>
      </c>
      <c r="H78" s="87" t="s">
        <v>1918</v>
      </c>
      <c r="I78" s="87" t="s">
        <v>199</v>
      </c>
      <c r="J78" s="87" t="s">
        <v>1834</v>
      </c>
      <c r="K78" s="87" t="s">
        <v>651</v>
      </c>
      <c r="L78" s="82" t="s">
        <v>30</v>
      </c>
      <c r="M78" s="87"/>
      <c r="N78" s="87" t="s">
        <v>21</v>
      </c>
      <c r="O78" s="90"/>
      <c r="P78" s="87"/>
      <c r="Q78" s="87" t="s">
        <v>24</v>
      </c>
      <c r="R78" s="87"/>
    </row>
    <row r="79" spans="1:18" ht="23" hidden="1" x14ac:dyDescent="0.35">
      <c r="A79" s="78" t="s">
        <v>679</v>
      </c>
      <c r="B79" s="79" t="s">
        <v>19</v>
      </c>
      <c r="C79" s="80" t="s">
        <v>1903</v>
      </c>
      <c r="D79" s="80" t="s">
        <v>680</v>
      </c>
      <c r="E79" s="80"/>
      <c r="F79" s="96" t="s">
        <v>93</v>
      </c>
      <c r="G79" s="80" t="s">
        <v>681</v>
      </c>
      <c r="H79" s="80"/>
      <c r="I79" s="80"/>
      <c r="J79" s="80"/>
      <c r="K79" s="80" t="s">
        <v>596</v>
      </c>
      <c r="L79" s="104" t="s">
        <v>597</v>
      </c>
      <c r="M79" s="80" t="s">
        <v>397</v>
      </c>
      <c r="N79" s="80"/>
      <c r="O79" s="83"/>
      <c r="P79" s="80"/>
      <c r="Q79" s="80" t="s">
        <v>95</v>
      </c>
      <c r="R79" s="80" t="s">
        <v>682</v>
      </c>
    </row>
    <row r="80" spans="1:18" ht="34.5" hidden="1" x14ac:dyDescent="0.35">
      <c r="A80" s="86" t="s">
        <v>702</v>
      </c>
      <c r="B80" s="79" t="s">
        <v>19</v>
      </c>
      <c r="C80" s="87" t="s">
        <v>1903</v>
      </c>
      <c r="D80" s="87" t="s">
        <v>703</v>
      </c>
      <c r="E80" s="87" t="s">
        <v>704</v>
      </c>
      <c r="F80" s="88" t="s">
        <v>21</v>
      </c>
      <c r="G80" s="87" t="s">
        <v>1919</v>
      </c>
      <c r="H80" s="87"/>
      <c r="I80" s="87" t="s">
        <v>1869</v>
      </c>
      <c r="J80" s="87" t="s">
        <v>1867</v>
      </c>
      <c r="K80" s="87"/>
      <c r="L80" s="89" t="s">
        <v>23</v>
      </c>
      <c r="M80" s="87" t="s">
        <v>397</v>
      </c>
      <c r="N80" s="87" t="s">
        <v>21</v>
      </c>
      <c r="O80" s="90"/>
      <c r="P80" s="87"/>
      <c r="Q80" s="87" t="s">
        <v>24</v>
      </c>
      <c r="R80" s="87"/>
    </row>
    <row r="81" spans="1:18" ht="23" hidden="1" x14ac:dyDescent="0.35">
      <c r="A81" s="86" t="s">
        <v>751</v>
      </c>
      <c r="B81" s="79" t="s">
        <v>19</v>
      </c>
      <c r="C81" s="87" t="s">
        <v>1903</v>
      </c>
      <c r="D81" s="87" t="s">
        <v>752</v>
      </c>
      <c r="E81" s="87"/>
      <c r="F81" s="96" t="s">
        <v>93</v>
      </c>
      <c r="G81" s="87" t="s">
        <v>1920</v>
      </c>
      <c r="H81" s="87"/>
      <c r="I81" s="87"/>
      <c r="J81" s="87"/>
      <c r="K81" s="87"/>
      <c r="L81" s="89" t="s">
        <v>23</v>
      </c>
      <c r="M81" s="87" t="s">
        <v>94</v>
      </c>
      <c r="N81" s="87"/>
      <c r="O81" s="90"/>
      <c r="P81" s="87"/>
      <c r="Q81" s="87" t="s">
        <v>95</v>
      </c>
      <c r="R81" s="87" t="s">
        <v>753</v>
      </c>
    </row>
    <row r="82" spans="1:18" ht="23" hidden="1" x14ac:dyDescent="0.35">
      <c r="A82" s="78" t="s">
        <v>810</v>
      </c>
      <c r="B82" s="79" t="s">
        <v>19</v>
      </c>
      <c r="C82" s="80" t="s">
        <v>1903</v>
      </c>
      <c r="D82" s="80" t="s">
        <v>811</v>
      </c>
      <c r="E82" s="80" t="s">
        <v>812</v>
      </c>
      <c r="F82" s="88" t="s">
        <v>21</v>
      </c>
      <c r="G82" s="80" t="s">
        <v>1921</v>
      </c>
      <c r="H82" s="80"/>
      <c r="I82" s="80" t="s">
        <v>1922</v>
      </c>
      <c r="J82" s="80" t="s">
        <v>1848</v>
      </c>
      <c r="K82" s="80"/>
      <c r="L82" s="89" t="s">
        <v>23</v>
      </c>
      <c r="M82" s="80" t="s">
        <v>397</v>
      </c>
      <c r="N82" s="80"/>
      <c r="O82" s="83"/>
      <c r="P82" s="80"/>
      <c r="Q82" s="80" t="s">
        <v>24</v>
      </c>
      <c r="R82" s="80"/>
    </row>
    <row r="83" spans="1:18" ht="23" hidden="1" x14ac:dyDescent="0.35">
      <c r="A83" s="78" t="s">
        <v>816</v>
      </c>
      <c r="B83" s="79" t="s">
        <v>19</v>
      </c>
      <c r="C83" s="80" t="s">
        <v>1903</v>
      </c>
      <c r="D83" s="80" t="s">
        <v>817</v>
      </c>
      <c r="E83" s="80"/>
      <c r="F83" s="101" t="s">
        <v>1912</v>
      </c>
      <c r="G83" s="80" t="s">
        <v>818</v>
      </c>
      <c r="H83" s="80" t="s">
        <v>819</v>
      </c>
      <c r="I83" s="80"/>
      <c r="J83" s="80"/>
      <c r="K83" s="80" t="s">
        <v>388</v>
      </c>
      <c r="L83" s="94" t="s">
        <v>61</v>
      </c>
      <c r="M83" s="80" t="s">
        <v>320</v>
      </c>
      <c r="N83" s="80" t="s">
        <v>820</v>
      </c>
      <c r="O83" s="83"/>
      <c r="P83" s="80"/>
      <c r="Q83" s="80" t="s">
        <v>821</v>
      </c>
      <c r="R83" s="80"/>
    </row>
    <row r="84" spans="1:18" ht="23" hidden="1" x14ac:dyDescent="0.35">
      <c r="A84" s="78" t="s">
        <v>827</v>
      </c>
      <c r="B84" s="79" t="s">
        <v>19</v>
      </c>
      <c r="C84" s="80" t="s">
        <v>1903</v>
      </c>
      <c r="D84" s="80" t="s">
        <v>828</v>
      </c>
      <c r="E84" s="80" t="s">
        <v>829</v>
      </c>
      <c r="F84" s="88" t="s">
        <v>21</v>
      </c>
      <c r="G84" s="80" t="s">
        <v>1923</v>
      </c>
      <c r="H84" s="80"/>
      <c r="I84" s="80" t="s">
        <v>830</v>
      </c>
      <c r="J84" s="80" t="s">
        <v>1851</v>
      </c>
      <c r="K84" s="80" t="s">
        <v>29</v>
      </c>
      <c r="L84" s="82" t="s">
        <v>30</v>
      </c>
      <c r="M84" s="80"/>
      <c r="N84" s="80" t="s">
        <v>21</v>
      </c>
      <c r="O84" s="83"/>
      <c r="P84" s="80"/>
      <c r="Q84" s="80" t="s">
        <v>24</v>
      </c>
      <c r="R84" s="80"/>
    </row>
    <row r="85" spans="1:18" ht="34.5" hidden="1" x14ac:dyDescent="0.35">
      <c r="A85" s="86" t="s">
        <v>274</v>
      </c>
      <c r="B85" s="79" t="s">
        <v>19</v>
      </c>
      <c r="C85" s="87" t="s">
        <v>1924</v>
      </c>
      <c r="D85" s="87" t="s">
        <v>275</v>
      </c>
      <c r="E85" s="87"/>
      <c r="F85" s="101" t="s">
        <v>1912</v>
      </c>
      <c r="G85" s="87" t="s">
        <v>277</v>
      </c>
      <c r="H85" s="87" t="s">
        <v>278</v>
      </c>
      <c r="I85" s="87"/>
      <c r="J85" s="87"/>
      <c r="K85" s="87" t="s">
        <v>279</v>
      </c>
      <c r="L85" s="102" t="s">
        <v>280</v>
      </c>
      <c r="M85" s="87" t="s">
        <v>281</v>
      </c>
      <c r="N85" s="87" t="s">
        <v>282</v>
      </c>
      <c r="O85" s="90"/>
      <c r="P85" s="87"/>
      <c r="Q85" s="87" t="s">
        <v>283</v>
      </c>
      <c r="R85" s="87"/>
    </row>
    <row r="86" spans="1:18" ht="34.5" hidden="1" x14ac:dyDescent="0.35">
      <c r="A86" s="78" t="s">
        <v>284</v>
      </c>
      <c r="B86" s="79" t="s">
        <v>19</v>
      </c>
      <c r="C86" s="80" t="s">
        <v>1924</v>
      </c>
      <c r="D86" s="80" t="s">
        <v>285</v>
      </c>
      <c r="E86" s="80"/>
      <c r="F86" s="101" t="s">
        <v>1912</v>
      </c>
      <c r="G86" s="80" t="s">
        <v>286</v>
      </c>
      <c r="H86" s="80" t="s">
        <v>287</v>
      </c>
      <c r="I86" s="80"/>
      <c r="J86" s="80"/>
      <c r="K86" s="80" t="s">
        <v>288</v>
      </c>
      <c r="L86" s="102" t="s">
        <v>280</v>
      </c>
      <c r="M86" s="80" t="s">
        <v>289</v>
      </c>
      <c r="N86" s="80" t="s">
        <v>290</v>
      </c>
      <c r="O86" s="83"/>
      <c r="P86" s="80"/>
      <c r="Q86" s="80" t="s">
        <v>291</v>
      </c>
      <c r="R86" s="80"/>
    </row>
    <row r="87" spans="1:18" ht="34.5" hidden="1" x14ac:dyDescent="0.35">
      <c r="A87" s="86" t="s">
        <v>292</v>
      </c>
      <c r="B87" s="79" t="s">
        <v>19</v>
      </c>
      <c r="C87" s="87" t="s">
        <v>1924</v>
      </c>
      <c r="D87" s="87" t="s">
        <v>293</v>
      </c>
      <c r="E87" s="87"/>
      <c r="F87" s="101" t="s">
        <v>1912</v>
      </c>
      <c r="G87" s="87" t="s">
        <v>294</v>
      </c>
      <c r="H87" s="87" t="s">
        <v>295</v>
      </c>
      <c r="I87" s="87"/>
      <c r="J87" s="87"/>
      <c r="K87" s="87" t="s">
        <v>296</v>
      </c>
      <c r="L87" s="102" t="s">
        <v>280</v>
      </c>
      <c r="M87" s="87" t="s">
        <v>297</v>
      </c>
      <c r="N87" s="87" t="s">
        <v>290</v>
      </c>
      <c r="O87" s="90"/>
      <c r="P87" s="87"/>
      <c r="Q87" s="87" t="s">
        <v>291</v>
      </c>
      <c r="R87" s="87"/>
    </row>
    <row r="88" spans="1:18" ht="34.5" hidden="1" x14ac:dyDescent="0.35">
      <c r="A88" s="78" t="s">
        <v>448</v>
      </c>
      <c r="B88" s="79" t="s">
        <v>19</v>
      </c>
      <c r="C88" s="80" t="s">
        <v>1924</v>
      </c>
      <c r="D88" s="80" t="s">
        <v>449</v>
      </c>
      <c r="E88" s="80"/>
      <c r="F88" s="101" t="s">
        <v>1912</v>
      </c>
      <c r="G88" s="80" t="s">
        <v>450</v>
      </c>
      <c r="H88" s="80" t="s">
        <v>451</v>
      </c>
      <c r="I88" s="80"/>
      <c r="J88" s="80"/>
      <c r="K88" s="80" t="s">
        <v>302</v>
      </c>
      <c r="L88" s="102" t="s">
        <v>280</v>
      </c>
      <c r="M88" s="80" t="s">
        <v>307</v>
      </c>
      <c r="N88" s="80"/>
      <c r="O88" s="83"/>
      <c r="P88" s="80"/>
      <c r="Q88" s="80" t="s">
        <v>291</v>
      </c>
      <c r="R88" s="80"/>
    </row>
    <row r="89" spans="1:18" ht="34.5" hidden="1" x14ac:dyDescent="0.35">
      <c r="A89" s="86" t="s">
        <v>298</v>
      </c>
      <c r="B89" s="79" t="s">
        <v>19</v>
      </c>
      <c r="C89" s="87" t="s">
        <v>1924</v>
      </c>
      <c r="D89" s="87" t="s">
        <v>299</v>
      </c>
      <c r="E89" s="87"/>
      <c r="F89" s="101" t="s">
        <v>1912</v>
      </c>
      <c r="G89" s="87" t="s">
        <v>300</v>
      </c>
      <c r="H89" s="87" t="s">
        <v>301</v>
      </c>
      <c r="I89" s="87"/>
      <c r="J89" s="87"/>
      <c r="K89" s="87" t="s">
        <v>302</v>
      </c>
      <c r="L89" s="102" t="s">
        <v>280</v>
      </c>
      <c r="M89" s="87" t="s">
        <v>303</v>
      </c>
      <c r="N89" s="87" t="s">
        <v>290</v>
      </c>
      <c r="O89" s="90"/>
      <c r="P89" s="87"/>
      <c r="Q89" s="87" t="s">
        <v>291</v>
      </c>
      <c r="R89" s="87"/>
    </row>
    <row r="90" spans="1:18" ht="34.5" hidden="1" x14ac:dyDescent="0.35">
      <c r="A90" s="86" t="s">
        <v>304</v>
      </c>
      <c r="B90" s="79" t="s">
        <v>19</v>
      </c>
      <c r="C90" s="87" t="s">
        <v>1924</v>
      </c>
      <c r="D90" s="87" t="s">
        <v>305</v>
      </c>
      <c r="E90" s="87"/>
      <c r="F90" s="101" t="s">
        <v>1912</v>
      </c>
      <c r="G90" s="87" t="s">
        <v>283</v>
      </c>
      <c r="H90" s="87" t="s">
        <v>306</v>
      </c>
      <c r="I90" s="87"/>
      <c r="J90" s="87"/>
      <c r="K90" s="87" t="s">
        <v>302</v>
      </c>
      <c r="L90" s="102" t="s">
        <v>280</v>
      </c>
      <c r="M90" s="87" t="s">
        <v>307</v>
      </c>
      <c r="N90" s="87"/>
      <c r="O90" s="90"/>
      <c r="P90" s="87"/>
      <c r="Q90" s="87" t="s">
        <v>283</v>
      </c>
      <c r="R90" s="87"/>
    </row>
    <row r="91" spans="1:18" ht="34.5" hidden="1" x14ac:dyDescent="0.35">
      <c r="A91" s="86" t="s">
        <v>487</v>
      </c>
      <c r="B91" s="79" t="s">
        <v>19</v>
      </c>
      <c r="C91" s="87" t="s">
        <v>1924</v>
      </c>
      <c r="D91" s="87" t="s">
        <v>488</v>
      </c>
      <c r="E91" s="87"/>
      <c r="F91" s="101" t="s">
        <v>1912</v>
      </c>
      <c r="G91" s="87" t="s">
        <v>489</v>
      </c>
      <c r="H91" s="87" t="s">
        <v>490</v>
      </c>
      <c r="I91" s="87"/>
      <c r="J91" s="87"/>
      <c r="K91" s="87" t="s">
        <v>302</v>
      </c>
      <c r="L91" s="102" t="s">
        <v>280</v>
      </c>
      <c r="M91" s="87" t="s">
        <v>307</v>
      </c>
      <c r="N91" s="87"/>
      <c r="O91" s="90"/>
      <c r="P91" s="87"/>
      <c r="Q91" s="87" t="s">
        <v>491</v>
      </c>
      <c r="R91" s="87"/>
    </row>
    <row r="92" spans="1:18" ht="34.5" hidden="1" x14ac:dyDescent="0.35">
      <c r="A92" s="78" t="s">
        <v>492</v>
      </c>
      <c r="B92" s="79" t="s">
        <v>19</v>
      </c>
      <c r="C92" s="80" t="s">
        <v>1924</v>
      </c>
      <c r="D92" s="80" t="s">
        <v>493</v>
      </c>
      <c r="E92" s="80"/>
      <c r="F92" s="101" t="s">
        <v>1912</v>
      </c>
      <c r="G92" s="80" t="s">
        <v>321</v>
      </c>
      <c r="H92" s="80" t="s">
        <v>494</v>
      </c>
      <c r="I92" s="80"/>
      <c r="J92" s="80"/>
      <c r="K92" s="80" t="s">
        <v>302</v>
      </c>
      <c r="L92" s="102" t="s">
        <v>280</v>
      </c>
      <c r="M92" s="80" t="s">
        <v>307</v>
      </c>
      <c r="N92" s="80"/>
      <c r="O92" s="83"/>
      <c r="P92" s="80"/>
      <c r="Q92" s="80" t="s">
        <v>321</v>
      </c>
      <c r="R92" s="80"/>
    </row>
    <row r="93" spans="1:18" ht="34.5" hidden="1" x14ac:dyDescent="0.35">
      <c r="A93" s="86" t="s">
        <v>495</v>
      </c>
      <c r="B93" s="79" t="s">
        <v>19</v>
      </c>
      <c r="C93" s="87" t="s">
        <v>1924</v>
      </c>
      <c r="D93" s="87" t="s">
        <v>496</v>
      </c>
      <c r="E93" s="87"/>
      <c r="F93" s="101" t="s">
        <v>1912</v>
      </c>
      <c r="G93" s="87" t="s">
        <v>497</v>
      </c>
      <c r="H93" s="87" t="s">
        <v>498</v>
      </c>
      <c r="I93" s="87"/>
      <c r="J93" s="87"/>
      <c r="K93" s="87" t="s">
        <v>499</v>
      </c>
      <c r="L93" s="102" t="s">
        <v>280</v>
      </c>
      <c r="M93" s="87" t="s">
        <v>500</v>
      </c>
      <c r="N93" s="87" t="s">
        <v>290</v>
      </c>
      <c r="O93" s="90"/>
      <c r="P93" s="87"/>
      <c r="Q93" s="87" t="s">
        <v>491</v>
      </c>
      <c r="R93" s="87"/>
    </row>
    <row r="94" spans="1:18" ht="34.5" hidden="1" x14ac:dyDescent="0.35">
      <c r="A94" s="78" t="s">
        <v>501</v>
      </c>
      <c r="B94" s="79" t="s">
        <v>19</v>
      </c>
      <c r="C94" s="80" t="s">
        <v>1924</v>
      </c>
      <c r="D94" s="80" t="s">
        <v>502</v>
      </c>
      <c r="E94" s="80"/>
      <c r="F94" s="101" t="s">
        <v>1912</v>
      </c>
      <c r="G94" s="80" t="s">
        <v>503</v>
      </c>
      <c r="H94" s="80" t="s">
        <v>504</v>
      </c>
      <c r="I94" s="80"/>
      <c r="J94" s="80"/>
      <c r="K94" s="80" t="s">
        <v>326</v>
      </c>
      <c r="L94" s="102" t="s">
        <v>280</v>
      </c>
      <c r="M94" s="80" t="s">
        <v>327</v>
      </c>
      <c r="N94" s="80" t="s">
        <v>505</v>
      </c>
      <c r="O94" s="83"/>
      <c r="P94" s="80"/>
      <c r="Q94" s="80" t="s">
        <v>506</v>
      </c>
      <c r="R94" s="80"/>
    </row>
    <row r="95" spans="1:18" ht="34.5" hidden="1" x14ac:dyDescent="0.35">
      <c r="A95" s="78" t="s">
        <v>308</v>
      </c>
      <c r="B95" s="79" t="s">
        <v>19</v>
      </c>
      <c r="C95" s="80" t="s">
        <v>1924</v>
      </c>
      <c r="D95" s="80" t="s">
        <v>309</v>
      </c>
      <c r="E95" s="80"/>
      <c r="F95" s="101" t="s">
        <v>1912</v>
      </c>
      <c r="G95" s="80" t="s">
        <v>310</v>
      </c>
      <c r="H95" s="80" t="s">
        <v>311</v>
      </c>
      <c r="I95" s="80"/>
      <c r="J95" s="80"/>
      <c r="K95" s="80" t="s">
        <v>302</v>
      </c>
      <c r="L95" s="102" t="s">
        <v>280</v>
      </c>
      <c r="M95" s="80" t="s">
        <v>307</v>
      </c>
      <c r="N95" s="80"/>
      <c r="O95" s="83"/>
      <c r="P95" s="80"/>
      <c r="Q95" s="80" t="s">
        <v>310</v>
      </c>
      <c r="R95" s="80"/>
    </row>
    <row r="96" spans="1:18" ht="34.5" hidden="1" x14ac:dyDescent="0.35">
      <c r="A96" s="78" t="s">
        <v>539</v>
      </c>
      <c r="B96" s="79" t="s">
        <v>19</v>
      </c>
      <c r="C96" s="80" t="s">
        <v>1924</v>
      </c>
      <c r="D96" s="80" t="s">
        <v>540</v>
      </c>
      <c r="E96" s="80"/>
      <c r="F96" s="101" t="s">
        <v>1912</v>
      </c>
      <c r="G96" s="80" t="s">
        <v>541</v>
      </c>
      <c r="H96" s="80" t="s">
        <v>542</v>
      </c>
      <c r="I96" s="80"/>
      <c r="J96" s="80"/>
      <c r="K96" s="80" t="s">
        <v>385</v>
      </c>
      <c r="L96" s="103" t="s">
        <v>386</v>
      </c>
      <c r="M96" s="80" t="s">
        <v>528</v>
      </c>
      <c r="N96" s="80" t="s">
        <v>290</v>
      </c>
      <c r="O96" s="83"/>
      <c r="P96" s="80"/>
      <c r="Q96" s="80" t="s">
        <v>339</v>
      </c>
      <c r="R96" s="80"/>
    </row>
    <row r="97" spans="1:18" ht="34.5" hidden="1" x14ac:dyDescent="0.35">
      <c r="A97" s="86" t="s">
        <v>559</v>
      </c>
      <c r="B97" s="79" t="s">
        <v>19</v>
      </c>
      <c r="C97" s="87" t="s">
        <v>1924</v>
      </c>
      <c r="D97" s="87" t="s">
        <v>560</v>
      </c>
      <c r="E97" s="87"/>
      <c r="F97" s="101" t="s">
        <v>1912</v>
      </c>
      <c r="G97" s="87" t="s">
        <v>561</v>
      </c>
      <c r="H97" s="87" t="s">
        <v>562</v>
      </c>
      <c r="I97" s="87"/>
      <c r="J97" s="87"/>
      <c r="K97" s="87" t="s">
        <v>563</v>
      </c>
      <c r="L97" s="102" t="s">
        <v>280</v>
      </c>
      <c r="M97" s="87" t="s">
        <v>564</v>
      </c>
      <c r="N97" s="87" t="s">
        <v>282</v>
      </c>
      <c r="O97" s="90"/>
      <c r="P97" s="87"/>
      <c r="Q97" s="87" t="s">
        <v>321</v>
      </c>
      <c r="R97" s="87"/>
    </row>
    <row r="98" spans="1:18" ht="34.5" hidden="1" x14ac:dyDescent="0.35">
      <c r="A98" s="78" t="s">
        <v>316</v>
      </c>
      <c r="B98" s="79" t="s">
        <v>19</v>
      </c>
      <c r="C98" s="80" t="s">
        <v>1924</v>
      </c>
      <c r="D98" s="80" t="s">
        <v>317</v>
      </c>
      <c r="E98" s="80"/>
      <c r="F98" s="101" t="s">
        <v>1912</v>
      </c>
      <c r="G98" s="80" t="s">
        <v>318</v>
      </c>
      <c r="H98" s="80" t="s">
        <v>319</v>
      </c>
      <c r="I98" s="80"/>
      <c r="J98" s="80"/>
      <c r="K98" s="80" t="s">
        <v>302</v>
      </c>
      <c r="L98" s="102" t="s">
        <v>280</v>
      </c>
      <c r="M98" s="80" t="s">
        <v>320</v>
      </c>
      <c r="N98" s="80" t="s">
        <v>290</v>
      </c>
      <c r="O98" s="83"/>
      <c r="P98" s="80"/>
      <c r="Q98" s="80" t="s">
        <v>321</v>
      </c>
      <c r="R98" s="80"/>
    </row>
    <row r="99" spans="1:18" ht="34.5" hidden="1" x14ac:dyDescent="0.35">
      <c r="A99" s="86" t="s">
        <v>322</v>
      </c>
      <c r="B99" s="79" t="s">
        <v>19</v>
      </c>
      <c r="C99" s="87" t="s">
        <v>1924</v>
      </c>
      <c r="D99" s="87" t="s">
        <v>323</v>
      </c>
      <c r="E99" s="87"/>
      <c r="F99" s="101" t="s">
        <v>1912</v>
      </c>
      <c r="G99" s="87" t="s">
        <v>324</v>
      </c>
      <c r="H99" s="87" t="s">
        <v>325</v>
      </c>
      <c r="I99" s="87"/>
      <c r="J99" s="87"/>
      <c r="K99" s="87" t="s">
        <v>326</v>
      </c>
      <c r="L99" s="102" t="s">
        <v>280</v>
      </c>
      <c r="M99" s="87" t="s">
        <v>327</v>
      </c>
      <c r="N99" s="87" t="s">
        <v>328</v>
      </c>
      <c r="O99" s="90"/>
      <c r="P99" s="87"/>
      <c r="Q99" s="87" t="s">
        <v>329</v>
      </c>
      <c r="R99" s="87"/>
    </row>
    <row r="100" spans="1:18" ht="34.5" hidden="1" x14ac:dyDescent="0.35">
      <c r="A100" s="78" t="s">
        <v>330</v>
      </c>
      <c r="B100" s="79" t="s">
        <v>19</v>
      </c>
      <c r="C100" s="80" t="s">
        <v>1924</v>
      </c>
      <c r="D100" s="80" t="s">
        <v>331</v>
      </c>
      <c r="E100" s="80"/>
      <c r="F100" s="101" t="s">
        <v>1912</v>
      </c>
      <c r="G100" s="80" t="s">
        <v>332</v>
      </c>
      <c r="H100" s="80" t="s">
        <v>333</v>
      </c>
      <c r="I100" s="80"/>
      <c r="J100" s="80"/>
      <c r="K100" s="80" t="s">
        <v>302</v>
      </c>
      <c r="L100" s="102" t="s">
        <v>280</v>
      </c>
      <c r="M100" s="80" t="s">
        <v>307</v>
      </c>
      <c r="N100" s="80"/>
      <c r="O100" s="83"/>
      <c r="P100" s="80"/>
      <c r="Q100" s="80" t="s">
        <v>329</v>
      </c>
      <c r="R100" s="80"/>
    </row>
    <row r="101" spans="1:18" ht="34.5" hidden="1" x14ac:dyDescent="0.35">
      <c r="A101" s="86" t="s">
        <v>574</v>
      </c>
      <c r="B101" s="79" t="s">
        <v>19</v>
      </c>
      <c r="C101" s="87" t="s">
        <v>1924</v>
      </c>
      <c r="D101" s="87" t="s">
        <v>575</v>
      </c>
      <c r="E101" s="87"/>
      <c r="F101" s="101" t="s">
        <v>1912</v>
      </c>
      <c r="G101" s="87" t="s">
        <v>576</v>
      </c>
      <c r="H101" s="87" t="s">
        <v>577</v>
      </c>
      <c r="I101" s="87"/>
      <c r="J101" s="87"/>
      <c r="K101" s="87" t="s">
        <v>578</v>
      </c>
      <c r="L101" s="102" t="s">
        <v>280</v>
      </c>
      <c r="M101" s="87" t="s">
        <v>579</v>
      </c>
      <c r="N101" s="87" t="s">
        <v>580</v>
      </c>
      <c r="O101" s="90"/>
      <c r="P101" s="87"/>
      <c r="Q101" s="87" t="s">
        <v>329</v>
      </c>
      <c r="R101" s="87"/>
    </row>
    <row r="102" spans="1:18" ht="34.5" hidden="1" x14ac:dyDescent="0.35">
      <c r="A102" s="78" t="s">
        <v>594</v>
      </c>
      <c r="B102" s="79" t="s">
        <v>19</v>
      </c>
      <c r="C102" s="80" t="s">
        <v>1924</v>
      </c>
      <c r="D102" s="80" t="s">
        <v>595</v>
      </c>
      <c r="E102" s="80"/>
      <c r="F102" s="96" t="s">
        <v>93</v>
      </c>
      <c r="G102" s="80" t="s">
        <v>1925</v>
      </c>
      <c r="H102" s="80"/>
      <c r="I102" s="80"/>
      <c r="J102" s="80"/>
      <c r="K102" s="80" t="s">
        <v>596</v>
      </c>
      <c r="L102" s="104" t="s">
        <v>597</v>
      </c>
      <c r="M102" s="80" t="s">
        <v>94</v>
      </c>
      <c r="N102" s="80"/>
      <c r="O102" s="83"/>
      <c r="P102" s="80"/>
      <c r="Q102" s="80" t="s">
        <v>95</v>
      </c>
      <c r="R102" s="80" t="s">
        <v>598</v>
      </c>
    </row>
    <row r="103" spans="1:18" ht="34.5" hidden="1" x14ac:dyDescent="0.35">
      <c r="A103" s="86" t="s">
        <v>615</v>
      </c>
      <c r="B103" s="79" t="s">
        <v>19</v>
      </c>
      <c r="C103" s="87" t="s">
        <v>1924</v>
      </c>
      <c r="D103" s="87" t="s">
        <v>616</v>
      </c>
      <c r="E103" s="87"/>
      <c r="F103" s="101" t="s">
        <v>1912</v>
      </c>
      <c r="G103" s="87" t="s">
        <v>617</v>
      </c>
      <c r="H103" s="87" t="s">
        <v>618</v>
      </c>
      <c r="I103" s="87"/>
      <c r="J103" s="87"/>
      <c r="K103" s="87" t="s">
        <v>302</v>
      </c>
      <c r="L103" s="102" t="s">
        <v>280</v>
      </c>
      <c r="M103" s="87" t="s">
        <v>387</v>
      </c>
      <c r="N103" s="87" t="s">
        <v>290</v>
      </c>
      <c r="O103" s="90"/>
      <c r="P103" s="87"/>
      <c r="Q103" s="87" t="s">
        <v>310</v>
      </c>
      <c r="R103" s="87"/>
    </row>
    <row r="104" spans="1:18" ht="34.5" hidden="1" x14ac:dyDescent="0.35">
      <c r="A104" s="78" t="s">
        <v>334</v>
      </c>
      <c r="B104" s="79" t="s">
        <v>19</v>
      </c>
      <c r="C104" s="80" t="s">
        <v>1924</v>
      </c>
      <c r="D104" s="80" t="s">
        <v>335</v>
      </c>
      <c r="E104" s="80"/>
      <c r="F104" s="101" t="s">
        <v>1912</v>
      </c>
      <c r="G104" s="80" t="s">
        <v>336</v>
      </c>
      <c r="H104" s="80" t="s">
        <v>337</v>
      </c>
      <c r="I104" s="80"/>
      <c r="J104" s="80"/>
      <c r="K104" s="80" t="s">
        <v>302</v>
      </c>
      <c r="L104" s="102" t="s">
        <v>280</v>
      </c>
      <c r="M104" s="80" t="s">
        <v>338</v>
      </c>
      <c r="N104" s="80" t="s">
        <v>290</v>
      </c>
      <c r="O104" s="83"/>
      <c r="P104" s="80"/>
      <c r="Q104" s="80" t="s">
        <v>339</v>
      </c>
      <c r="R104" s="80"/>
    </row>
    <row r="105" spans="1:18" ht="46" hidden="1" x14ac:dyDescent="0.35">
      <c r="A105" s="78" t="s">
        <v>340</v>
      </c>
      <c r="B105" s="79" t="s">
        <v>19</v>
      </c>
      <c r="C105" s="80" t="s">
        <v>1924</v>
      </c>
      <c r="D105" s="80" t="s">
        <v>341</v>
      </c>
      <c r="E105" s="80"/>
      <c r="F105" s="101" t="s">
        <v>1912</v>
      </c>
      <c r="G105" s="80" t="s">
        <v>342</v>
      </c>
      <c r="H105" s="80" t="s">
        <v>343</v>
      </c>
      <c r="I105" s="80"/>
      <c r="J105" s="80"/>
      <c r="K105" s="80" t="s">
        <v>344</v>
      </c>
      <c r="L105" s="102" t="s">
        <v>280</v>
      </c>
      <c r="M105" s="80" t="s">
        <v>345</v>
      </c>
      <c r="N105" s="80" t="s">
        <v>346</v>
      </c>
      <c r="O105" s="83"/>
      <c r="P105" s="80"/>
      <c r="Q105" s="80" t="s">
        <v>310</v>
      </c>
      <c r="R105" s="80"/>
    </row>
    <row r="106" spans="1:18" ht="34.5" hidden="1" x14ac:dyDescent="0.35">
      <c r="A106" s="86" t="s">
        <v>627</v>
      </c>
      <c r="B106" s="79" t="s">
        <v>19</v>
      </c>
      <c r="C106" s="87" t="s">
        <v>1924</v>
      </c>
      <c r="D106" s="87" t="s">
        <v>628</v>
      </c>
      <c r="E106" s="87"/>
      <c r="F106" s="101" t="s">
        <v>1912</v>
      </c>
      <c r="G106" s="87" t="s">
        <v>629</v>
      </c>
      <c r="H106" s="87" t="s">
        <v>630</v>
      </c>
      <c r="I106" s="87"/>
      <c r="J106" s="87"/>
      <c r="K106" s="87" t="s">
        <v>631</v>
      </c>
      <c r="L106" s="102" t="s">
        <v>280</v>
      </c>
      <c r="M106" s="87" t="s">
        <v>632</v>
      </c>
      <c r="N106" s="87" t="s">
        <v>290</v>
      </c>
      <c r="O106" s="90"/>
      <c r="P106" s="87"/>
      <c r="Q106" s="87" t="s">
        <v>491</v>
      </c>
      <c r="R106" s="87"/>
    </row>
    <row r="107" spans="1:18" ht="34.5" hidden="1" x14ac:dyDescent="0.35">
      <c r="A107" s="78" t="s">
        <v>633</v>
      </c>
      <c r="B107" s="79" t="s">
        <v>19</v>
      </c>
      <c r="C107" s="80" t="s">
        <v>1924</v>
      </c>
      <c r="D107" s="80" t="s">
        <v>634</v>
      </c>
      <c r="E107" s="80"/>
      <c r="F107" s="101" t="s">
        <v>1912</v>
      </c>
      <c r="G107" s="80" t="s">
        <v>635</v>
      </c>
      <c r="H107" s="80" t="s">
        <v>636</v>
      </c>
      <c r="I107" s="80"/>
      <c r="J107" s="80"/>
      <c r="K107" s="80" t="s">
        <v>637</v>
      </c>
      <c r="L107" s="103" t="s">
        <v>386</v>
      </c>
      <c r="M107" s="80" t="s">
        <v>638</v>
      </c>
      <c r="N107" s="80" t="s">
        <v>290</v>
      </c>
      <c r="O107" s="83"/>
      <c r="P107" s="80"/>
      <c r="Q107" s="80" t="s">
        <v>506</v>
      </c>
      <c r="R107" s="80"/>
    </row>
    <row r="108" spans="1:18" ht="34.5" hidden="1" x14ac:dyDescent="0.35">
      <c r="A108" s="78" t="s">
        <v>347</v>
      </c>
      <c r="B108" s="79" t="s">
        <v>19</v>
      </c>
      <c r="C108" s="80" t="s">
        <v>1924</v>
      </c>
      <c r="D108" s="80" t="s">
        <v>348</v>
      </c>
      <c r="E108" s="80"/>
      <c r="F108" s="101" t="s">
        <v>1912</v>
      </c>
      <c r="G108" s="80" t="s">
        <v>349</v>
      </c>
      <c r="H108" s="80" t="s">
        <v>350</v>
      </c>
      <c r="I108" s="80"/>
      <c r="J108" s="80"/>
      <c r="K108" s="80" t="s">
        <v>302</v>
      </c>
      <c r="L108" s="102" t="s">
        <v>280</v>
      </c>
      <c r="M108" s="80" t="s">
        <v>351</v>
      </c>
      <c r="N108" s="80" t="s">
        <v>290</v>
      </c>
      <c r="O108" s="83"/>
      <c r="P108" s="80"/>
      <c r="Q108" s="80" t="s">
        <v>310</v>
      </c>
      <c r="R108" s="80"/>
    </row>
    <row r="109" spans="1:18" ht="34.5" hidden="1" x14ac:dyDescent="0.35">
      <c r="A109" s="86" t="s">
        <v>352</v>
      </c>
      <c r="B109" s="79" t="s">
        <v>19</v>
      </c>
      <c r="C109" s="87" t="s">
        <v>1924</v>
      </c>
      <c r="D109" s="87" t="s">
        <v>353</v>
      </c>
      <c r="E109" s="87"/>
      <c r="F109" s="101" t="s">
        <v>1912</v>
      </c>
      <c r="G109" s="87" t="s">
        <v>354</v>
      </c>
      <c r="H109" s="87" t="s">
        <v>355</v>
      </c>
      <c r="I109" s="87"/>
      <c r="J109" s="87"/>
      <c r="K109" s="87" t="s">
        <v>302</v>
      </c>
      <c r="L109" s="102" t="s">
        <v>280</v>
      </c>
      <c r="M109" s="87" t="s">
        <v>356</v>
      </c>
      <c r="N109" s="87" t="s">
        <v>290</v>
      </c>
      <c r="O109" s="90"/>
      <c r="P109" s="87"/>
      <c r="Q109" s="87" t="s">
        <v>310</v>
      </c>
      <c r="R109" s="87"/>
    </row>
    <row r="110" spans="1:18" ht="34.5" hidden="1" x14ac:dyDescent="0.35">
      <c r="A110" s="78" t="s">
        <v>652</v>
      </c>
      <c r="B110" s="79" t="s">
        <v>19</v>
      </c>
      <c r="C110" s="80" t="s">
        <v>1924</v>
      </c>
      <c r="D110" s="80" t="s">
        <v>653</v>
      </c>
      <c r="E110" s="80"/>
      <c r="F110" s="101" t="s">
        <v>1912</v>
      </c>
      <c r="G110" s="80" t="s">
        <v>654</v>
      </c>
      <c r="H110" s="80" t="s">
        <v>655</v>
      </c>
      <c r="I110" s="80"/>
      <c r="J110" s="80"/>
      <c r="K110" s="80" t="s">
        <v>388</v>
      </c>
      <c r="L110" s="94" t="s">
        <v>61</v>
      </c>
      <c r="M110" s="80" t="s">
        <v>656</v>
      </c>
      <c r="N110" s="80" t="s">
        <v>657</v>
      </c>
      <c r="O110" s="83"/>
      <c r="P110" s="80"/>
      <c r="Q110" s="80" t="s">
        <v>658</v>
      </c>
      <c r="R110" s="80"/>
    </row>
    <row r="111" spans="1:18" ht="34.5" hidden="1" x14ac:dyDescent="0.35">
      <c r="A111" s="78" t="s">
        <v>754</v>
      </c>
      <c r="B111" s="79" t="s">
        <v>19</v>
      </c>
      <c r="C111" s="80" t="s">
        <v>1924</v>
      </c>
      <c r="D111" s="80" t="s">
        <v>755</v>
      </c>
      <c r="E111" s="80"/>
      <c r="F111" s="101" t="s">
        <v>1912</v>
      </c>
      <c r="G111" s="80" t="s">
        <v>756</v>
      </c>
      <c r="H111" s="80" t="s">
        <v>757</v>
      </c>
      <c r="I111" s="80"/>
      <c r="J111" s="80"/>
      <c r="K111" s="80" t="s">
        <v>388</v>
      </c>
      <c r="L111" s="94" t="s">
        <v>61</v>
      </c>
      <c r="M111" s="80" t="s">
        <v>758</v>
      </c>
      <c r="N111" s="80" t="s">
        <v>759</v>
      </c>
      <c r="O111" s="83"/>
      <c r="P111" s="80"/>
      <c r="Q111" s="80" t="s">
        <v>760</v>
      </c>
      <c r="R111" s="80"/>
    </row>
    <row r="112" spans="1:18" ht="34.5" hidden="1" x14ac:dyDescent="0.35">
      <c r="A112" s="86" t="s">
        <v>761</v>
      </c>
      <c r="B112" s="79" t="s">
        <v>19</v>
      </c>
      <c r="C112" s="87" t="s">
        <v>1924</v>
      </c>
      <c r="D112" s="87"/>
      <c r="E112" s="87"/>
      <c r="F112" s="101" t="s">
        <v>1912</v>
      </c>
      <c r="G112" s="87" t="s">
        <v>763</v>
      </c>
      <c r="H112" s="87" t="s">
        <v>764</v>
      </c>
      <c r="I112" s="87"/>
      <c r="J112" s="87"/>
      <c r="K112" s="87" t="s">
        <v>302</v>
      </c>
      <c r="L112" s="102" t="s">
        <v>280</v>
      </c>
      <c r="M112" s="87" t="s">
        <v>765</v>
      </c>
      <c r="N112" s="87"/>
      <c r="O112" s="90"/>
      <c r="P112" s="87"/>
      <c r="Q112" s="87" t="s">
        <v>766</v>
      </c>
      <c r="R112" s="87"/>
    </row>
    <row r="113" spans="1:18" ht="34.5" hidden="1" x14ac:dyDescent="0.35">
      <c r="A113" s="78" t="s">
        <v>767</v>
      </c>
      <c r="B113" s="79" t="s">
        <v>19</v>
      </c>
      <c r="C113" s="80" t="s">
        <v>1924</v>
      </c>
      <c r="D113" s="80"/>
      <c r="E113" s="80"/>
      <c r="F113" s="101" t="s">
        <v>1912</v>
      </c>
      <c r="G113" s="80" t="s">
        <v>769</v>
      </c>
      <c r="H113" s="80" t="s">
        <v>770</v>
      </c>
      <c r="I113" s="80"/>
      <c r="J113" s="80"/>
      <c r="K113" s="80" t="s">
        <v>302</v>
      </c>
      <c r="L113" s="102" t="s">
        <v>280</v>
      </c>
      <c r="M113" s="80" t="s">
        <v>360</v>
      </c>
      <c r="N113" s="80" t="s">
        <v>361</v>
      </c>
      <c r="O113" s="83"/>
      <c r="P113" s="80"/>
      <c r="Q113" s="80" t="s">
        <v>766</v>
      </c>
      <c r="R113" s="80"/>
    </row>
    <row r="114" spans="1:18" ht="34.5" hidden="1" x14ac:dyDescent="0.35">
      <c r="A114" s="86" t="s">
        <v>771</v>
      </c>
      <c r="B114" s="79" t="s">
        <v>19</v>
      </c>
      <c r="C114" s="87" t="s">
        <v>1924</v>
      </c>
      <c r="D114" s="87"/>
      <c r="E114" s="87"/>
      <c r="F114" s="101" t="s">
        <v>1912</v>
      </c>
      <c r="G114" s="87" t="s">
        <v>772</v>
      </c>
      <c r="H114" s="87" t="s">
        <v>773</v>
      </c>
      <c r="I114" s="87"/>
      <c r="J114" s="87"/>
      <c r="K114" s="87" t="s">
        <v>302</v>
      </c>
      <c r="L114" s="102" t="s">
        <v>280</v>
      </c>
      <c r="M114" s="87" t="s">
        <v>656</v>
      </c>
      <c r="N114" s="87"/>
      <c r="O114" s="90"/>
      <c r="P114" s="87"/>
      <c r="Q114" s="87" t="s">
        <v>291</v>
      </c>
      <c r="R114" s="87"/>
    </row>
    <row r="115" spans="1:18" ht="34.5" hidden="1" x14ac:dyDescent="0.35">
      <c r="A115" s="78" t="s">
        <v>774</v>
      </c>
      <c r="B115" s="79" t="s">
        <v>19</v>
      </c>
      <c r="C115" s="80" t="s">
        <v>1924</v>
      </c>
      <c r="D115" s="80"/>
      <c r="E115" s="80"/>
      <c r="F115" s="101" t="s">
        <v>1912</v>
      </c>
      <c r="G115" s="80" t="s">
        <v>772</v>
      </c>
      <c r="H115" s="80" t="s">
        <v>775</v>
      </c>
      <c r="I115" s="80"/>
      <c r="J115" s="80"/>
      <c r="K115" s="80" t="s">
        <v>302</v>
      </c>
      <c r="L115" s="102" t="s">
        <v>280</v>
      </c>
      <c r="M115" s="80" t="s">
        <v>656</v>
      </c>
      <c r="N115" s="80"/>
      <c r="O115" s="83"/>
      <c r="P115" s="80"/>
      <c r="Q115" s="80" t="s">
        <v>291</v>
      </c>
      <c r="R115" s="80"/>
    </row>
    <row r="116" spans="1:18" ht="34.5" hidden="1" x14ac:dyDescent="0.35">
      <c r="A116" s="86" t="s">
        <v>776</v>
      </c>
      <c r="B116" s="79" t="s">
        <v>19</v>
      </c>
      <c r="C116" s="87" t="s">
        <v>1924</v>
      </c>
      <c r="D116" s="87"/>
      <c r="E116" s="87"/>
      <c r="F116" s="101" t="s">
        <v>1912</v>
      </c>
      <c r="G116" s="87" t="s">
        <v>450</v>
      </c>
      <c r="H116" s="87" t="s">
        <v>777</v>
      </c>
      <c r="I116" s="87"/>
      <c r="J116" s="87"/>
      <c r="K116" s="87" t="s">
        <v>302</v>
      </c>
      <c r="L116" s="102" t="s">
        <v>280</v>
      </c>
      <c r="M116" s="87" t="s">
        <v>307</v>
      </c>
      <c r="N116" s="87"/>
      <c r="O116" s="90"/>
      <c r="P116" s="87"/>
      <c r="Q116" s="87" t="s">
        <v>291</v>
      </c>
      <c r="R116" s="87"/>
    </row>
    <row r="117" spans="1:18" ht="34.5" hidden="1" x14ac:dyDescent="0.35">
      <c r="A117" s="78" t="s">
        <v>778</v>
      </c>
      <c r="B117" s="79" t="s">
        <v>19</v>
      </c>
      <c r="C117" s="80" t="s">
        <v>1924</v>
      </c>
      <c r="D117" s="80"/>
      <c r="E117" s="80"/>
      <c r="F117" s="101" t="s">
        <v>1912</v>
      </c>
      <c r="G117" s="80" t="s">
        <v>450</v>
      </c>
      <c r="H117" s="80" t="s">
        <v>779</v>
      </c>
      <c r="I117" s="80"/>
      <c r="J117" s="80"/>
      <c r="K117" s="80" t="s">
        <v>302</v>
      </c>
      <c r="L117" s="102" t="s">
        <v>280</v>
      </c>
      <c r="M117" s="80" t="s">
        <v>307</v>
      </c>
      <c r="N117" s="80"/>
      <c r="O117" s="83"/>
      <c r="P117" s="80"/>
      <c r="Q117" s="80" t="s">
        <v>291</v>
      </c>
      <c r="R117" s="80"/>
    </row>
    <row r="118" spans="1:18" ht="34.5" hidden="1" x14ac:dyDescent="0.35">
      <c r="A118" s="86" t="s">
        <v>357</v>
      </c>
      <c r="B118" s="79" t="s">
        <v>19</v>
      </c>
      <c r="C118" s="87" t="s">
        <v>1924</v>
      </c>
      <c r="D118" s="87"/>
      <c r="E118" s="87"/>
      <c r="F118" s="101" t="s">
        <v>1912</v>
      </c>
      <c r="G118" s="87" t="s">
        <v>358</v>
      </c>
      <c r="H118" s="87" t="s">
        <v>359</v>
      </c>
      <c r="I118" s="87"/>
      <c r="J118" s="87"/>
      <c r="K118" s="87" t="s">
        <v>302</v>
      </c>
      <c r="L118" s="102" t="s">
        <v>280</v>
      </c>
      <c r="M118" s="87" t="s">
        <v>360</v>
      </c>
      <c r="N118" s="87" t="s">
        <v>361</v>
      </c>
      <c r="O118" s="90"/>
      <c r="P118" s="87"/>
      <c r="Q118" s="87" t="s">
        <v>362</v>
      </c>
      <c r="R118" s="87"/>
    </row>
    <row r="119" spans="1:18" ht="34.5" hidden="1" x14ac:dyDescent="0.35">
      <c r="A119" s="78" t="s">
        <v>363</v>
      </c>
      <c r="B119" s="79" t="s">
        <v>19</v>
      </c>
      <c r="C119" s="80" t="s">
        <v>1924</v>
      </c>
      <c r="D119" s="80"/>
      <c r="E119" s="80"/>
      <c r="F119" s="101" t="s">
        <v>1912</v>
      </c>
      <c r="G119" s="80" t="s">
        <v>332</v>
      </c>
      <c r="H119" s="80" t="s">
        <v>364</v>
      </c>
      <c r="I119" s="80"/>
      <c r="J119" s="80"/>
      <c r="K119" s="80" t="s">
        <v>302</v>
      </c>
      <c r="L119" s="102" t="s">
        <v>280</v>
      </c>
      <c r="M119" s="80" t="s">
        <v>307</v>
      </c>
      <c r="N119" s="80"/>
      <c r="O119" s="83"/>
      <c r="P119" s="80"/>
      <c r="Q119" s="80" t="s">
        <v>362</v>
      </c>
      <c r="R119" s="80"/>
    </row>
    <row r="120" spans="1:18" ht="34.5" hidden="1" x14ac:dyDescent="0.35">
      <c r="A120" s="86" t="s">
        <v>365</v>
      </c>
      <c r="B120" s="79" t="s">
        <v>19</v>
      </c>
      <c r="C120" s="87" t="s">
        <v>1924</v>
      </c>
      <c r="D120" s="87"/>
      <c r="E120" s="87"/>
      <c r="F120" s="101" t="s">
        <v>1912</v>
      </c>
      <c r="G120" s="87" t="s">
        <v>332</v>
      </c>
      <c r="H120" s="87" t="s">
        <v>366</v>
      </c>
      <c r="I120" s="87"/>
      <c r="J120" s="87"/>
      <c r="K120" s="87" t="s">
        <v>302</v>
      </c>
      <c r="L120" s="102" t="s">
        <v>280</v>
      </c>
      <c r="M120" s="87" t="s">
        <v>307</v>
      </c>
      <c r="N120" s="87"/>
      <c r="O120" s="90"/>
      <c r="P120" s="87"/>
      <c r="Q120" s="87" t="s">
        <v>362</v>
      </c>
      <c r="R120" s="87"/>
    </row>
    <row r="121" spans="1:18" ht="34.5" hidden="1" x14ac:dyDescent="0.35">
      <c r="A121" s="78" t="s">
        <v>367</v>
      </c>
      <c r="B121" s="79" t="s">
        <v>19</v>
      </c>
      <c r="C121" s="80" t="s">
        <v>1924</v>
      </c>
      <c r="D121" s="80"/>
      <c r="E121" s="80"/>
      <c r="F121" s="101" t="s">
        <v>1912</v>
      </c>
      <c r="G121" s="80" t="s">
        <v>358</v>
      </c>
      <c r="H121" s="80" t="s">
        <v>359</v>
      </c>
      <c r="I121" s="80"/>
      <c r="J121" s="80"/>
      <c r="K121" s="80" t="s">
        <v>302</v>
      </c>
      <c r="L121" s="102" t="s">
        <v>280</v>
      </c>
      <c r="M121" s="80" t="s">
        <v>360</v>
      </c>
      <c r="N121" s="80" t="s">
        <v>361</v>
      </c>
      <c r="O121" s="83"/>
      <c r="P121" s="80"/>
      <c r="Q121" s="80" t="s">
        <v>368</v>
      </c>
      <c r="R121" s="80"/>
    </row>
    <row r="122" spans="1:18" ht="34.5" hidden="1" x14ac:dyDescent="0.35">
      <c r="A122" s="86" t="s">
        <v>369</v>
      </c>
      <c r="B122" s="79" t="s">
        <v>19</v>
      </c>
      <c r="C122" s="87" t="s">
        <v>1924</v>
      </c>
      <c r="D122" s="87"/>
      <c r="E122" s="87"/>
      <c r="F122" s="101" t="s">
        <v>1912</v>
      </c>
      <c r="G122" s="87" t="s">
        <v>332</v>
      </c>
      <c r="H122" s="87" t="s">
        <v>364</v>
      </c>
      <c r="I122" s="87"/>
      <c r="J122" s="87"/>
      <c r="K122" s="87" t="s">
        <v>302</v>
      </c>
      <c r="L122" s="102" t="s">
        <v>280</v>
      </c>
      <c r="M122" s="87" t="s">
        <v>307</v>
      </c>
      <c r="N122" s="87"/>
      <c r="O122" s="90"/>
      <c r="P122" s="87"/>
      <c r="Q122" s="87" t="s">
        <v>368</v>
      </c>
      <c r="R122" s="87"/>
    </row>
    <row r="123" spans="1:18" ht="34.5" hidden="1" x14ac:dyDescent="0.35">
      <c r="A123" s="78" t="s">
        <v>370</v>
      </c>
      <c r="B123" s="79" t="s">
        <v>19</v>
      </c>
      <c r="C123" s="80" t="s">
        <v>1924</v>
      </c>
      <c r="D123" s="80"/>
      <c r="E123" s="80"/>
      <c r="F123" s="101" t="s">
        <v>1912</v>
      </c>
      <c r="G123" s="80" t="s">
        <v>332</v>
      </c>
      <c r="H123" s="80" t="s">
        <v>366</v>
      </c>
      <c r="I123" s="80"/>
      <c r="J123" s="80"/>
      <c r="K123" s="80" t="s">
        <v>302</v>
      </c>
      <c r="L123" s="102" t="s">
        <v>280</v>
      </c>
      <c r="M123" s="80" t="s">
        <v>307</v>
      </c>
      <c r="N123" s="80"/>
      <c r="O123" s="83"/>
      <c r="P123" s="80"/>
      <c r="Q123" s="80" t="s">
        <v>368</v>
      </c>
      <c r="R123" s="80"/>
    </row>
    <row r="124" spans="1:18" ht="34.5" hidden="1" x14ac:dyDescent="0.35">
      <c r="A124" s="86" t="s">
        <v>780</v>
      </c>
      <c r="B124" s="79" t="s">
        <v>19</v>
      </c>
      <c r="C124" s="87" t="s">
        <v>1924</v>
      </c>
      <c r="D124" s="87"/>
      <c r="E124" s="87"/>
      <c r="F124" s="101" t="s">
        <v>1912</v>
      </c>
      <c r="G124" s="87" t="s">
        <v>484</v>
      </c>
      <c r="H124" s="87" t="s">
        <v>781</v>
      </c>
      <c r="I124" s="87"/>
      <c r="J124" s="87"/>
      <c r="K124" s="87" t="s">
        <v>302</v>
      </c>
      <c r="L124" s="102" t="s">
        <v>280</v>
      </c>
      <c r="M124" s="87" t="s">
        <v>307</v>
      </c>
      <c r="N124" s="87"/>
      <c r="O124" s="90"/>
      <c r="P124" s="87"/>
      <c r="Q124" s="87" t="s">
        <v>486</v>
      </c>
      <c r="R124" s="87"/>
    </row>
    <row r="125" spans="1:18" ht="34.5" hidden="1" x14ac:dyDescent="0.35">
      <c r="A125" s="78" t="s">
        <v>782</v>
      </c>
      <c r="B125" s="79" t="s">
        <v>19</v>
      </c>
      <c r="C125" s="80" t="s">
        <v>1924</v>
      </c>
      <c r="D125" s="80"/>
      <c r="E125" s="80"/>
      <c r="F125" s="101" t="s">
        <v>1912</v>
      </c>
      <c r="G125" s="80" t="s">
        <v>484</v>
      </c>
      <c r="H125" s="80" t="s">
        <v>783</v>
      </c>
      <c r="I125" s="80"/>
      <c r="J125" s="80"/>
      <c r="K125" s="80" t="s">
        <v>302</v>
      </c>
      <c r="L125" s="102" t="s">
        <v>280</v>
      </c>
      <c r="M125" s="80" t="s">
        <v>307</v>
      </c>
      <c r="N125" s="80"/>
      <c r="O125" s="83"/>
      <c r="P125" s="80"/>
      <c r="Q125" s="80" t="s">
        <v>486</v>
      </c>
      <c r="R125" s="80"/>
    </row>
    <row r="126" spans="1:18" ht="34.5" hidden="1" x14ac:dyDescent="0.35">
      <c r="A126" s="86" t="s">
        <v>784</v>
      </c>
      <c r="B126" s="79" t="s">
        <v>19</v>
      </c>
      <c r="C126" s="87" t="s">
        <v>1924</v>
      </c>
      <c r="D126" s="87"/>
      <c r="E126" s="87"/>
      <c r="F126" s="101" t="s">
        <v>1912</v>
      </c>
      <c r="G126" s="87" t="s">
        <v>785</v>
      </c>
      <c r="H126" s="87" t="s">
        <v>786</v>
      </c>
      <c r="I126" s="87"/>
      <c r="J126" s="87"/>
      <c r="K126" s="87" t="s">
        <v>388</v>
      </c>
      <c r="L126" s="94" t="s">
        <v>61</v>
      </c>
      <c r="M126" s="87" t="s">
        <v>656</v>
      </c>
      <c r="N126" s="87"/>
      <c r="O126" s="90"/>
      <c r="P126" s="87"/>
      <c r="Q126" s="87" t="s">
        <v>787</v>
      </c>
      <c r="R126" s="87"/>
    </row>
    <row r="127" spans="1:18" ht="34.5" hidden="1" x14ac:dyDescent="0.35">
      <c r="A127" s="86" t="s">
        <v>790</v>
      </c>
      <c r="B127" s="79" t="s">
        <v>19</v>
      </c>
      <c r="C127" s="87" t="s">
        <v>1924</v>
      </c>
      <c r="D127" s="87"/>
      <c r="E127" s="87"/>
      <c r="F127" s="101" t="s">
        <v>1912</v>
      </c>
      <c r="G127" s="87" t="s">
        <v>509</v>
      </c>
      <c r="H127" s="87" t="s">
        <v>791</v>
      </c>
      <c r="I127" s="87"/>
      <c r="J127" s="87"/>
      <c r="K127" s="87" t="s">
        <v>302</v>
      </c>
      <c r="L127" s="102" t="s">
        <v>280</v>
      </c>
      <c r="M127" s="87" t="s">
        <v>307</v>
      </c>
      <c r="N127" s="87" t="s">
        <v>511</v>
      </c>
      <c r="O127" s="90"/>
      <c r="P127" s="87"/>
      <c r="Q127" s="87" t="s">
        <v>509</v>
      </c>
      <c r="R127" s="87"/>
    </row>
    <row r="128" spans="1:18" ht="34.5" hidden="1" x14ac:dyDescent="0.35">
      <c r="A128" s="78" t="s">
        <v>371</v>
      </c>
      <c r="B128" s="79" t="s">
        <v>19</v>
      </c>
      <c r="C128" s="80" t="s">
        <v>1924</v>
      </c>
      <c r="D128" s="80"/>
      <c r="E128" s="80"/>
      <c r="F128" s="101" t="s">
        <v>1912</v>
      </c>
      <c r="G128" s="80" t="s">
        <v>310</v>
      </c>
      <c r="H128" s="80" t="s">
        <v>372</v>
      </c>
      <c r="I128" s="80"/>
      <c r="J128" s="80"/>
      <c r="K128" s="80" t="s">
        <v>302</v>
      </c>
      <c r="L128" s="102" t="s">
        <v>280</v>
      </c>
      <c r="M128" s="80" t="s">
        <v>307</v>
      </c>
      <c r="N128" s="80"/>
      <c r="O128" s="83"/>
      <c r="P128" s="80"/>
      <c r="Q128" s="80" t="s">
        <v>310</v>
      </c>
      <c r="R128" s="80"/>
    </row>
    <row r="129" spans="1:18" ht="34.5" hidden="1" x14ac:dyDescent="0.35">
      <c r="A129" s="86" t="s">
        <v>373</v>
      </c>
      <c r="B129" s="79" t="s">
        <v>19</v>
      </c>
      <c r="C129" s="87" t="s">
        <v>1924</v>
      </c>
      <c r="D129" s="87"/>
      <c r="E129" s="87"/>
      <c r="F129" s="101" t="s">
        <v>1912</v>
      </c>
      <c r="G129" s="87" t="s">
        <v>310</v>
      </c>
      <c r="H129" s="87" t="s">
        <v>374</v>
      </c>
      <c r="I129" s="87"/>
      <c r="J129" s="87"/>
      <c r="K129" s="87" t="s">
        <v>302</v>
      </c>
      <c r="L129" s="102" t="s">
        <v>280</v>
      </c>
      <c r="M129" s="87" t="s">
        <v>307</v>
      </c>
      <c r="N129" s="87"/>
      <c r="O129" s="90"/>
      <c r="P129" s="87"/>
      <c r="Q129" s="87" t="s">
        <v>310</v>
      </c>
      <c r="R129" s="87"/>
    </row>
    <row r="130" spans="1:18" ht="34.5" hidden="1" x14ac:dyDescent="0.35">
      <c r="A130" s="78" t="s">
        <v>375</v>
      </c>
      <c r="B130" s="79" t="s">
        <v>19</v>
      </c>
      <c r="C130" s="80" t="s">
        <v>1924</v>
      </c>
      <c r="D130" s="80"/>
      <c r="E130" s="80"/>
      <c r="F130" s="101" t="s">
        <v>1912</v>
      </c>
      <c r="G130" s="80" t="s">
        <v>376</v>
      </c>
      <c r="H130" s="80" t="s">
        <v>377</v>
      </c>
      <c r="I130" s="80"/>
      <c r="J130" s="80"/>
      <c r="K130" s="80" t="s">
        <v>302</v>
      </c>
      <c r="L130" s="102" t="s">
        <v>280</v>
      </c>
      <c r="M130" s="80" t="s">
        <v>360</v>
      </c>
      <c r="N130" s="80" t="s">
        <v>361</v>
      </c>
      <c r="O130" s="83"/>
      <c r="P130" s="80"/>
      <c r="Q130" s="80" t="s">
        <v>310</v>
      </c>
      <c r="R130" s="80"/>
    </row>
    <row r="131" spans="1:18" ht="34.5" hidden="1" x14ac:dyDescent="0.35">
      <c r="A131" s="86" t="s">
        <v>378</v>
      </c>
      <c r="B131" s="79" t="s">
        <v>19</v>
      </c>
      <c r="C131" s="87" t="s">
        <v>1924</v>
      </c>
      <c r="D131" s="87"/>
      <c r="E131" s="87"/>
      <c r="F131" s="101" t="s">
        <v>1912</v>
      </c>
      <c r="G131" s="87" t="s">
        <v>379</v>
      </c>
      <c r="H131" s="87" t="s">
        <v>380</v>
      </c>
      <c r="I131" s="87"/>
      <c r="J131" s="87"/>
      <c r="K131" s="87" t="s">
        <v>302</v>
      </c>
      <c r="L131" s="102" t="s">
        <v>280</v>
      </c>
      <c r="M131" s="87" t="s">
        <v>360</v>
      </c>
      <c r="N131" s="87" t="s">
        <v>361</v>
      </c>
      <c r="O131" s="90"/>
      <c r="P131" s="87"/>
      <c r="Q131" s="87" t="s">
        <v>283</v>
      </c>
      <c r="R131" s="87"/>
    </row>
    <row r="132" spans="1:18" ht="34.5" hidden="1" x14ac:dyDescent="0.35">
      <c r="A132" s="78" t="s">
        <v>381</v>
      </c>
      <c r="B132" s="79" t="s">
        <v>19</v>
      </c>
      <c r="C132" s="80" t="s">
        <v>1924</v>
      </c>
      <c r="D132" s="80"/>
      <c r="E132" s="80"/>
      <c r="F132" s="101" t="s">
        <v>1912</v>
      </c>
      <c r="G132" s="80" t="s">
        <v>283</v>
      </c>
      <c r="H132" s="80" t="s">
        <v>382</v>
      </c>
      <c r="I132" s="80"/>
      <c r="J132" s="80"/>
      <c r="K132" s="80" t="s">
        <v>302</v>
      </c>
      <c r="L132" s="102" t="s">
        <v>280</v>
      </c>
      <c r="M132" s="80" t="s">
        <v>307</v>
      </c>
      <c r="N132" s="80"/>
      <c r="O132" s="83"/>
      <c r="P132" s="80"/>
      <c r="Q132" s="80" t="s">
        <v>283</v>
      </c>
      <c r="R132" s="80"/>
    </row>
    <row r="133" spans="1:18" ht="34.5" hidden="1" x14ac:dyDescent="0.35">
      <c r="A133" s="86" t="s">
        <v>383</v>
      </c>
      <c r="B133" s="79" t="s">
        <v>19</v>
      </c>
      <c r="C133" s="87" t="s">
        <v>1924</v>
      </c>
      <c r="D133" s="87"/>
      <c r="E133" s="87"/>
      <c r="F133" s="101" t="s">
        <v>1912</v>
      </c>
      <c r="G133" s="87" t="s">
        <v>283</v>
      </c>
      <c r="H133" s="87" t="s">
        <v>384</v>
      </c>
      <c r="I133" s="87"/>
      <c r="J133" s="87"/>
      <c r="K133" s="87" t="s">
        <v>302</v>
      </c>
      <c r="L133" s="102" t="s">
        <v>280</v>
      </c>
      <c r="M133" s="87" t="s">
        <v>307</v>
      </c>
      <c r="N133" s="87"/>
      <c r="O133" s="90"/>
      <c r="P133" s="87"/>
      <c r="Q133" s="87" t="s">
        <v>283</v>
      </c>
      <c r="R133" s="87"/>
    </row>
    <row r="134" spans="1:18" ht="34.5" hidden="1" x14ac:dyDescent="0.35">
      <c r="A134" s="78" t="s">
        <v>792</v>
      </c>
      <c r="B134" s="79" t="s">
        <v>19</v>
      </c>
      <c r="C134" s="80" t="s">
        <v>1924</v>
      </c>
      <c r="D134" s="80"/>
      <c r="E134" s="80"/>
      <c r="F134" s="101" t="s">
        <v>1912</v>
      </c>
      <c r="G134" s="80" t="s">
        <v>321</v>
      </c>
      <c r="H134" s="80" t="s">
        <v>793</v>
      </c>
      <c r="I134" s="80"/>
      <c r="J134" s="80"/>
      <c r="K134" s="80" t="s">
        <v>302</v>
      </c>
      <c r="L134" s="102" t="s">
        <v>280</v>
      </c>
      <c r="M134" s="80" t="s">
        <v>307</v>
      </c>
      <c r="N134" s="80"/>
      <c r="O134" s="83"/>
      <c r="P134" s="80"/>
      <c r="Q134" s="80" t="s">
        <v>321</v>
      </c>
      <c r="R134" s="80"/>
    </row>
    <row r="135" spans="1:18" ht="34.5" hidden="1" x14ac:dyDescent="0.35">
      <c r="A135" s="86" t="s">
        <v>794</v>
      </c>
      <c r="B135" s="79" t="s">
        <v>19</v>
      </c>
      <c r="C135" s="87" t="s">
        <v>1924</v>
      </c>
      <c r="D135" s="87"/>
      <c r="E135" s="87"/>
      <c r="F135" s="101" t="s">
        <v>1912</v>
      </c>
      <c r="G135" s="87" t="s">
        <v>795</v>
      </c>
      <c r="H135" s="87" t="s">
        <v>796</v>
      </c>
      <c r="I135" s="87"/>
      <c r="J135" s="87"/>
      <c r="K135" s="87" t="s">
        <v>302</v>
      </c>
      <c r="L135" s="102" t="s">
        <v>280</v>
      </c>
      <c r="M135" s="87" t="s">
        <v>360</v>
      </c>
      <c r="N135" s="87" t="s">
        <v>361</v>
      </c>
      <c r="O135" s="90"/>
      <c r="P135" s="87"/>
      <c r="Q135" s="87" t="s">
        <v>321</v>
      </c>
      <c r="R135" s="87"/>
    </row>
    <row r="136" spans="1:18" ht="34.5" hidden="1" x14ac:dyDescent="0.35">
      <c r="A136" s="78" t="s">
        <v>797</v>
      </c>
      <c r="B136" s="79" t="s">
        <v>19</v>
      </c>
      <c r="C136" s="80" t="s">
        <v>1924</v>
      </c>
      <c r="D136" s="80"/>
      <c r="E136" s="80"/>
      <c r="F136" s="101" t="s">
        <v>1912</v>
      </c>
      <c r="G136" s="80" t="s">
        <v>321</v>
      </c>
      <c r="H136" s="80" t="s">
        <v>798</v>
      </c>
      <c r="I136" s="80"/>
      <c r="J136" s="80"/>
      <c r="K136" s="80" t="s">
        <v>302</v>
      </c>
      <c r="L136" s="102" t="s">
        <v>280</v>
      </c>
      <c r="M136" s="80" t="s">
        <v>307</v>
      </c>
      <c r="N136" s="80"/>
      <c r="O136" s="83"/>
      <c r="P136" s="80"/>
      <c r="Q136" s="80" t="s">
        <v>321</v>
      </c>
      <c r="R136" s="80"/>
    </row>
    <row r="137" spans="1:18" ht="34.5" hidden="1" x14ac:dyDescent="0.35">
      <c r="A137" s="78" t="s">
        <v>799</v>
      </c>
      <c r="B137" s="79" t="s">
        <v>19</v>
      </c>
      <c r="C137" s="80" t="s">
        <v>1924</v>
      </c>
      <c r="D137" s="80"/>
      <c r="E137" s="80"/>
      <c r="F137" s="101" t="s">
        <v>1912</v>
      </c>
      <c r="G137" s="80" t="s">
        <v>785</v>
      </c>
      <c r="H137" s="80" t="s">
        <v>786</v>
      </c>
      <c r="I137" s="80"/>
      <c r="J137" s="80"/>
      <c r="K137" s="80" t="s">
        <v>388</v>
      </c>
      <c r="L137" s="94" t="s">
        <v>61</v>
      </c>
      <c r="M137" s="80" t="s">
        <v>656</v>
      </c>
      <c r="N137" s="80"/>
      <c r="O137" s="83"/>
      <c r="P137" s="80"/>
      <c r="Q137" s="80" t="s">
        <v>800</v>
      </c>
      <c r="R137" s="80"/>
    </row>
    <row r="138" spans="1:18" ht="34.5" hidden="1" x14ac:dyDescent="0.35">
      <c r="A138" s="86" t="s">
        <v>801</v>
      </c>
      <c r="B138" s="79" t="s">
        <v>19</v>
      </c>
      <c r="C138" s="87" t="s">
        <v>1924</v>
      </c>
      <c r="D138" s="87"/>
      <c r="E138" s="87"/>
      <c r="F138" s="101" t="s">
        <v>1912</v>
      </c>
      <c r="G138" s="87" t="s">
        <v>763</v>
      </c>
      <c r="H138" s="87" t="s">
        <v>764</v>
      </c>
      <c r="I138" s="87"/>
      <c r="J138" s="87"/>
      <c r="K138" s="87" t="s">
        <v>302</v>
      </c>
      <c r="L138" s="102" t="s">
        <v>280</v>
      </c>
      <c r="M138" s="87" t="s">
        <v>765</v>
      </c>
      <c r="N138" s="87"/>
      <c r="O138" s="90"/>
      <c r="P138" s="87"/>
      <c r="Q138" s="87" t="s">
        <v>802</v>
      </c>
      <c r="R138" s="87"/>
    </row>
    <row r="139" spans="1:18" ht="34.5" hidden="1" x14ac:dyDescent="0.35">
      <c r="A139" s="78" t="s">
        <v>803</v>
      </c>
      <c r="B139" s="79" t="s">
        <v>19</v>
      </c>
      <c r="C139" s="80" t="s">
        <v>1924</v>
      </c>
      <c r="D139" s="80"/>
      <c r="E139" s="80"/>
      <c r="F139" s="101" t="s">
        <v>1912</v>
      </c>
      <c r="G139" s="80" t="s">
        <v>769</v>
      </c>
      <c r="H139" s="80" t="s">
        <v>770</v>
      </c>
      <c r="I139" s="80"/>
      <c r="J139" s="80"/>
      <c r="K139" s="80" t="s">
        <v>302</v>
      </c>
      <c r="L139" s="102" t="s">
        <v>280</v>
      </c>
      <c r="M139" s="80" t="s">
        <v>360</v>
      </c>
      <c r="N139" s="80" t="s">
        <v>361</v>
      </c>
      <c r="O139" s="83"/>
      <c r="P139" s="80"/>
      <c r="Q139" s="80" t="s">
        <v>802</v>
      </c>
      <c r="R139" s="80"/>
    </row>
    <row r="140" spans="1:18" ht="34.5" hidden="1" x14ac:dyDescent="0.35">
      <c r="A140" s="86" t="s">
        <v>804</v>
      </c>
      <c r="B140" s="79" t="s">
        <v>19</v>
      </c>
      <c r="C140" s="87" t="s">
        <v>1924</v>
      </c>
      <c r="D140" s="87"/>
      <c r="E140" s="87"/>
      <c r="F140" s="101" t="s">
        <v>1912</v>
      </c>
      <c r="G140" s="87" t="s">
        <v>489</v>
      </c>
      <c r="H140" s="87" t="s">
        <v>788</v>
      </c>
      <c r="I140" s="87"/>
      <c r="J140" s="87"/>
      <c r="K140" s="87" t="s">
        <v>302</v>
      </c>
      <c r="L140" s="102" t="s">
        <v>280</v>
      </c>
      <c r="M140" s="87" t="s">
        <v>307</v>
      </c>
      <c r="N140" s="87"/>
      <c r="O140" s="90"/>
      <c r="P140" s="87"/>
      <c r="Q140" s="87" t="s">
        <v>805</v>
      </c>
      <c r="R140" s="87"/>
    </row>
    <row r="141" spans="1:18" ht="34.5" hidden="1" x14ac:dyDescent="0.35">
      <c r="A141" s="78" t="s">
        <v>806</v>
      </c>
      <c r="B141" s="79" t="s">
        <v>19</v>
      </c>
      <c r="C141" s="80" t="s">
        <v>1924</v>
      </c>
      <c r="D141" s="80"/>
      <c r="E141" s="80"/>
      <c r="F141" s="101" t="s">
        <v>1912</v>
      </c>
      <c r="G141" s="80" t="s">
        <v>489</v>
      </c>
      <c r="H141" s="80" t="s">
        <v>789</v>
      </c>
      <c r="I141" s="80"/>
      <c r="J141" s="80"/>
      <c r="K141" s="80" t="s">
        <v>302</v>
      </c>
      <c r="L141" s="102" t="s">
        <v>280</v>
      </c>
      <c r="M141" s="80" t="s">
        <v>307</v>
      </c>
      <c r="N141" s="80"/>
      <c r="O141" s="83"/>
      <c r="P141" s="80"/>
      <c r="Q141" s="80" t="s">
        <v>805</v>
      </c>
      <c r="R141" s="80"/>
    </row>
    <row r="142" spans="1:18" ht="34.5" hidden="1" x14ac:dyDescent="0.35">
      <c r="A142" s="86" t="s">
        <v>807</v>
      </c>
      <c r="B142" s="79" t="s">
        <v>19</v>
      </c>
      <c r="C142" s="87" t="s">
        <v>1924</v>
      </c>
      <c r="D142" s="87"/>
      <c r="E142" s="87"/>
      <c r="F142" s="101" t="s">
        <v>1912</v>
      </c>
      <c r="G142" s="87" t="s">
        <v>808</v>
      </c>
      <c r="H142" s="87" t="s">
        <v>809</v>
      </c>
      <c r="I142" s="87"/>
      <c r="J142" s="87"/>
      <c r="K142" s="87" t="s">
        <v>302</v>
      </c>
      <c r="L142" s="102" t="s">
        <v>280</v>
      </c>
      <c r="M142" s="87" t="s">
        <v>360</v>
      </c>
      <c r="N142" s="87" t="s">
        <v>361</v>
      </c>
      <c r="O142" s="90"/>
      <c r="P142" s="87"/>
      <c r="Q142" s="87" t="s">
        <v>506</v>
      </c>
      <c r="R142" s="87"/>
    </row>
    <row r="143" spans="1:18" ht="34.5" hidden="1" x14ac:dyDescent="0.35">
      <c r="A143" s="86" t="s">
        <v>822</v>
      </c>
      <c r="B143" s="79" t="s">
        <v>19</v>
      </c>
      <c r="C143" s="87" t="s">
        <v>1924</v>
      </c>
      <c r="D143" s="87" t="s">
        <v>823</v>
      </c>
      <c r="E143" s="87"/>
      <c r="F143" s="101" t="s">
        <v>1912</v>
      </c>
      <c r="G143" s="87" t="s">
        <v>824</v>
      </c>
      <c r="H143" s="87" t="s">
        <v>825</v>
      </c>
      <c r="I143" s="87"/>
      <c r="J143" s="87"/>
      <c r="K143" s="87" t="s">
        <v>826</v>
      </c>
      <c r="L143" s="102" t="s">
        <v>280</v>
      </c>
      <c r="M143" s="87" t="s">
        <v>303</v>
      </c>
      <c r="N143" s="87" t="s">
        <v>290</v>
      </c>
      <c r="O143" s="90"/>
      <c r="P143" s="87"/>
      <c r="Q143" s="87" t="s">
        <v>310</v>
      </c>
      <c r="R143" s="87"/>
    </row>
    <row r="144" spans="1:18" ht="46" hidden="1" x14ac:dyDescent="0.35">
      <c r="A144" s="78" t="s">
        <v>441</v>
      </c>
      <c r="B144" s="79" t="s">
        <v>19</v>
      </c>
      <c r="C144" s="80" t="s">
        <v>1926</v>
      </c>
      <c r="D144" s="80" t="s">
        <v>442</v>
      </c>
      <c r="E144" s="80" t="s">
        <v>443</v>
      </c>
      <c r="F144" s="88" t="s">
        <v>21</v>
      </c>
      <c r="G144" s="80" t="s">
        <v>1927</v>
      </c>
      <c r="H144" s="80" t="s">
        <v>1928</v>
      </c>
      <c r="I144" s="80" t="s">
        <v>444</v>
      </c>
      <c r="J144" s="80" t="s">
        <v>1874</v>
      </c>
      <c r="K144" s="80" t="s">
        <v>445</v>
      </c>
      <c r="L144" s="82" t="s">
        <v>30</v>
      </c>
      <c r="M144" s="80"/>
      <c r="N144" s="80" t="s">
        <v>21</v>
      </c>
      <c r="O144" s="83"/>
      <c r="P144" s="80"/>
      <c r="Q144" s="80" t="s">
        <v>24</v>
      </c>
      <c r="R144" s="80"/>
    </row>
    <row r="145" spans="1:18" ht="23" hidden="1" x14ac:dyDescent="0.35">
      <c r="A145" s="86" t="s">
        <v>389</v>
      </c>
      <c r="B145" s="79" t="s">
        <v>19</v>
      </c>
      <c r="C145" s="87" t="s">
        <v>1926</v>
      </c>
      <c r="D145" s="87" t="s">
        <v>390</v>
      </c>
      <c r="E145" s="87" t="s">
        <v>391</v>
      </c>
      <c r="F145" s="88" t="s">
        <v>21</v>
      </c>
      <c r="G145" s="87" t="s">
        <v>1929</v>
      </c>
      <c r="H145" s="87"/>
      <c r="I145" s="87" t="s">
        <v>392</v>
      </c>
      <c r="J145" s="87" t="s">
        <v>1858</v>
      </c>
      <c r="K145" s="87"/>
      <c r="L145" s="89" t="s">
        <v>23</v>
      </c>
      <c r="M145" s="87" t="s">
        <v>397</v>
      </c>
      <c r="N145" s="87" t="s">
        <v>21</v>
      </c>
      <c r="O145" s="90"/>
      <c r="P145" s="87"/>
      <c r="Q145" s="87" t="s">
        <v>24</v>
      </c>
      <c r="R145" s="87"/>
    </row>
    <row r="146" spans="1:18" ht="23" hidden="1" x14ac:dyDescent="0.35">
      <c r="A146" s="86" t="s">
        <v>393</v>
      </c>
      <c r="B146" s="79" t="s">
        <v>19</v>
      </c>
      <c r="C146" s="87" t="s">
        <v>1926</v>
      </c>
      <c r="D146" s="87" t="s">
        <v>394</v>
      </c>
      <c r="E146" s="87"/>
      <c r="F146" s="96" t="s">
        <v>93</v>
      </c>
      <c r="G146" s="87" t="s">
        <v>395</v>
      </c>
      <c r="H146" s="87"/>
      <c r="I146" s="87"/>
      <c r="J146" s="87"/>
      <c r="K146" s="87" t="s">
        <v>396</v>
      </c>
      <c r="L146" s="94" t="s">
        <v>61</v>
      </c>
      <c r="M146" s="87" t="s">
        <v>397</v>
      </c>
      <c r="N146" s="87"/>
      <c r="O146" s="90"/>
      <c r="P146" s="87"/>
      <c r="Q146" s="87" t="s">
        <v>95</v>
      </c>
      <c r="R146" s="87" t="s">
        <v>398</v>
      </c>
    </row>
    <row r="147" spans="1:18" ht="23" hidden="1" x14ac:dyDescent="0.35">
      <c r="A147" s="78" t="s">
        <v>67</v>
      </c>
      <c r="B147" s="79" t="s">
        <v>19</v>
      </c>
      <c r="C147" s="80" t="s">
        <v>1926</v>
      </c>
      <c r="D147" s="80" t="s">
        <v>68</v>
      </c>
      <c r="E147" s="80" t="s">
        <v>69</v>
      </c>
      <c r="F147" s="88" t="s">
        <v>21</v>
      </c>
      <c r="G147" s="80" t="s">
        <v>1930</v>
      </c>
      <c r="H147" s="80"/>
      <c r="I147" s="80" t="s">
        <v>70</v>
      </c>
      <c r="J147" s="80" t="s">
        <v>1864</v>
      </c>
      <c r="K147" s="80"/>
      <c r="L147" s="89" t="s">
        <v>23</v>
      </c>
      <c r="M147" s="80" t="s">
        <v>397</v>
      </c>
      <c r="N147" s="80" t="s">
        <v>21</v>
      </c>
      <c r="O147" s="83"/>
      <c r="P147" s="80"/>
      <c r="Q147" s="80" t="s">
        <v>24</v>
      </c>
      <c r="R147" s="80"/>
    </row>
    <row r="148" spans="1:18" ht="23" hidden="1" x14ac:dyDescent="0.35">
      <c r="A148" s="86" t="s">
        <v>399</v>
      </c>
      <c r="B148" s="79" t="s">
        <v>19</v>
      </c>
      <c r="C148" s="87" t="s">
        <v>1926</v>
      </c>
      <c r="D148" s="87" t="s">
        <v>400</v>
      </c>
      <c r="E148" s="87" t="s">
        <v>401</v>
      </c>
      <c r="F148" s="88" t="s">
        <v>21</v>
      </c>
      <c r="G148" s="87" t="s">
        <v>1931</v>
      </c>
      <c r="H148" s="87"/>
      <c r="I148" s="87" t="s">
        <v>402</v>
      </c>
      <c r="J148" s="87" t="s">
        <v>1851</v>
      </c>
      <c r="K148" s="87" t="s">
        <v>403</v>
      </c>
      <c r="L148" s="82" t="s">
        <v>30</v>
      </c>
      <c r="M148" s="87"/>
      <c r="N148" s="87" t="s">
        <v>21</v>
      </c>
      <c r="O148" s="90"/>
      <c r="P148" s="87"/>
      <c r="Q148" s="87" t="s">
        <v>24</v>
      </c>
      <c r="R148" s="87"/>
    </row>
    <row r="149" spans="1:18" ht="23" hidden="1" x14ac:dyDescent="0.35">
      <c r="A149" s="86" t="s">
        <v>404</v>
      </c>
      <c r="B149" s="79" t="s">
        <v>19</v>
      </c>
      <c r="C149" s="87" t="s">
        <v>1926</v>
      </c>
      <c r="D149" s="87" t="s">
        <v>405</v>
      </c>
      <c r="E149" s="87" t="s">
        <v>406</v>
      </c>
      <c r="F149" s="88" t="s">
        <v>21</v>
      </c>
      <c r="G149" s="87" t="s">
        <v>1932</v>
      </c>
      <c r="H149" s="87"/>
      <c r="I149" s="87" t="s">
        <v>84</v>
      </c>
      <c r="J149" s="87" t="s">
        <v>1828</v>
      </c>
      <c r="K149" s="87" t="s">
        <v>85</v>
      </c>
      <c r="L149" s="82" t="s">
        <v>30</v>
      </c>
      <c r="M149" s="87"/>
      <c r="N149" s="87" t="s">
        <v>21</v>
      </c>
      <c r="O149" s="90"/>
      <c r="P149" s="87"/>
      <c r="Q149" s="87" t="s">
        <v>24</v>
      </c>
      <c r="R149" s="87"/>
    </row>
    <row r="150" spans="1:18" ht="23" hidden="1" x14ac:dyDescent="0.35">
      <c r="A150" s="86" t="s">
        <v>507</v>
      </c>
      <c r="B150" s="79" t="s">
        <v>19</v>
      </c>
      <c r="C150" s="87" t="s">
        <v>1926</v>
      </c>
      <c r="D150" s="87" t="s">
        <v>508</v>
      </c>
      <c r="E150" s="87"/>
      <c r="F150" s="101" t="s">
        <v>1912</v>
      </c>
      <c r="G150" s="87" t="s">
        <v>509</v>
      </c>
      <c r="H150" s="87" t="s">
        <v>510</v>
      </c>
      <c r="I150" s="87"/>
      <c r="J150" s="87"/>
      <c r="K150" s="87" t="s">
        <v>302</v>
      </c>
      <c r="L150" s="102" t="s">
        <v>280</v>
      </c>
      <c r="M150" s="87" t="s">
        <v>307</v>
      </c>
      <c r="N150" s="87" t="s">
        <v>511</v>
      </c>
      <c r="O150" s="90"/>
      <c r="P150" s="87"/>
      <c r="Q150" s="87" t="s">
        <v>509</v>
      </c>
      <c r="R150" s="87"/>
    </row>
    <row r="151" spans="1:18" ht="23" hidden="1" x14ac:dyDescent="0.35">
      <c r="A151" s="86" t="s">
        <v>553</v>
      </c>
      <c r="B151" s="79" t="s">
        <v>19</v>
      </c>
      <c r="C151" s="87" t="s">
        <v>1926</v>
      </c>
      <c r="D151" s="87" t="s">
        <v>554</v>
      </c>
      <c r="E151" s="87"/>
      <c r="F151" s="96" t="s">
        <v>93</v>
      </c>
      <c r="G151" s="87" t="s">
        <v>1933</v>
      </c>
      <c r="H151" s="87"/>
      <c r="I151" s="87"/>
      <c r="J151" s="87"/>
      <c r="K151" s="87" t="s">
        <v>396</v>
      </c>
      <c r="L151" s="94" t="s">
        <v>61</v>
      </c>
      <c r="M151" s="87" t="s">
        <v>94</v>
      </c>
      <c r="N151" s="87"/>
      <c r="O151" s="90"/>
      <c r="P151" s="87"/>
      <c r="Q151" s="87" t="s">
        <v>95</v>
      </c>
      <c r="R151" s="87" t="s">
        <v>555</v>
      </c>
    </row>
    <row r="152" spans="1:18" ht="23" hidden="1" x14ac:dyDescent="0.35">
      <c r="A152" s="86" t="s">
        <v>407</v>
      </c>
      <c r="B152" s="79" t="s">
        <v>19</v>
      </c>
      <c r="C152" s="87" t="s">
        <v>1926</v>
      </c>
      <c r="D152" s="87" t="s">
        <v>408</v>
      </c>
      <c r="E152" s="87" t="s">
        <v>409</v>
      </c>
      <c r="F152" s="88" t="s">
        <v>21</v>
      </c>
      <c r="G152" s="87" t="s">
        <v>1934</v>
      </c>
      <c r="H152" s="87" t="s">
        <v>1934</v>
      </c>
      <c r="I152" s="87" t="s">
        <v>410</v>
      </c>
      <c r="J152" s="87" t="s">
        <v>1846</v>
      </c>
      <c r="K152" s="87" t="s">
        <v>220</v>
      </c>
      <c r="L152" s="82" t="s">
        <v>30</v>
      </c>
      <c r="M152" s="87"/>
      <c r="N152" s="87" t="s">
        <v>21</v>
      </c>
      <c r="O152" s="90"/>
      <c r="P152" s="87"/>
      <c r="Q152" s="87" t="s">
        <v>24</v>
      </c>
      <c r="R152" s="87"/>
    </row>
    <row r="153" spans="1:18" ht="23" hidden="1" x14ac:dyDescent="0.35">
      <c r="A153" s="78" t="s">
        <v>240</v>
      </c>
      <c r="B153" s="79" t="s">
        <v>19</v>
      </c>
      <c r="C153" s="80" t="s">
        <v>1926</v>
      </c>
      <c r="D153" s="80" t="s">
        <v>241</v>
      </c>
      <c r="E153" s="80" t="s">
        <v>242</v>
      </c>
      <c r="F153" s="88" t="s">
        <v>21</v>
      </c>
      <c r="G153" s="80" t="s">
        <v>1935</v>
      </c>
      <c r="H153" s="80" t="s">
        <v>1936</v>
      </c>
      <c r="I153" s="80" t="s">
        <v>243</v>
      </c>
      <c r="J153" s="80" t="s">
        <v>1874</v>
      </c>
      <c r="K153" s="80" t="s">
        <v>66</v>
      </c>
      <c r="L153" s="82" t="s">
        <v>30</v>
      </c>
      <c r="M153" s="80"/>
      <c r="N153" s="80" t="s">
        <v>21</v>
      </c>
      <c r="O153" s="83"/>
      <c r="P153" s="80"/>
      <c r="Q153" s="80" t="s">
        <v>24</v>
      </c>
      <c r="R153" s="80"/>
    </row>
    <row r="154" spans="1:18" ht="34.5" hidden="1" x14ac:dyDescent="0.35">
      <c r="A154" s="86" t="s">
        <v>262</v>
      </c>
      <c r="B154" s="79" t="s">
        <v>19</v>
      </c>
      <c r="C154" s="87" t="s">
        <v>1926</v>
      </c>
      <c r="D154" s="87" t="s">
        <v>263</v>
      </c>
      <c r="E154" s="87" t="s">
        <v>264</v>
      </c>
      <c r="F154" s="88" t="s">
        <v>21</v>
      </c>
      <c r="G154" s="87" t="s">
        <v>1937</v>
      </c>
      <c r="H154" s="87" t="s">
        <v>1938</v>
      </c>
      <c r="I154" s="87" t="s">
        <v>65</v>
      </c>
      <c r="J154" s="87" t="s">
        <v>1874</v>
      </c>
      <c r="K154" s="87" t="s">
        <v>60</v>
      </c>
      <c r="L154" s="94" t="s">
        <v>61</v>
      </c>
      <c r="M154" s="87"/>
      <c r="N154" s="87" t="s">
        <v>21</v>
      </c>
      <c r="O154" s="90"/>
      <c r="P154" s="87"/>
      <c r="Q154" s="87" t="s">
        <v>24</v>
      </c>
      <c r="R154" s="87"/>
    </row>
    <row r="155" spans="1:18" ht="23" hidden="1" x14ac:dyDescent="0.35">
      <c r="A155" s="78" t="s">
        <v>599</v>
      </c>
      <c r="B155" s="79" t="s">
        <v>19</v>
      </c>
      <c r="C155" s="80" t="s">
        <v>1926</v>
      </c>
      <c r="D155" s="80" t="s">
        <v>600</v>
      </c>
      <c r="E155" s="80"/>
      <c r="F155" s="96" t="s">
        <v>93</v>
      </c>
      <c r="G155" s="80" t="s">
        <v>1939</v>
      </c>
      <c r="H155" s="80"/>
      <c r="I155" s="80"/>
      <c r="J155" s="80"/>
      <c r="K155" s="80" t="s">
        <v>596</v>
      </c>
      <c r="L155" s="104" t="s">
        <v>597</v>
      </c>
      <c r="M155" s="80" t="s">
        <v>94</v>
      </c>
      <c r="N155" s="80"/>
      <c r="O155" s="83"/>
      <c r="P155" s="80"/>
      <c r="Q155" s="80" t="s">
        <v>95</v>
      </c>
      <c r="R155" s="80" t="s">
        <v>601</v>
      </c>
    </row>
    <row r="156" spans="1:18" ht="23" hidden="1" x14ac:dyDescent="0.35">
      <c r="A156" s="86" t="s">
        <v>602</v>
      </c>
      <c r="B156" s="79" t="s">
        <v>19</v>
      </c>
      <c r="C156" s="87" t="s">
        <v>1926</v>
      </c>
      <c r="D156" s="87" t="s">
        <v>603</v>
      </c>
      <c r="E156" s="87"/>
      <c r="F156" s="96" t="s">
        <v>93</v>
      </c>
      <c r="G156" s="87" t="s">
        <v>604</v>
      </c>
      <c r="H156" s="87"/>
      <c r="I156" s="87"/>
      <c r="J156" s="87"/>
      <c r="K156" s="87"/>
      <c r="L156" s="89" t="s">
        <v>23</v>
      </c>
      <c r="M156" s="87" t="s">
        <v>605</v>
      </c>
      <c r="N156" s="87"/>
      <c r="O156" s="90"/>
      <c r="P156" s="87"/>
      <c r="Q156" s="87" t="s">
        <v>95</v>
      </c>
      <c r="R156" s="87" t="s">
        <v>606</v>
      </c>
    </row>
    <row r="157" spans="1:18" ht="23" hidden="1" x14ac:dyDescent="0.35">
      <c r="A157" s="78" t="s">
        <v>265</v>
      </c>
      <c r="B157" s="79" t="s">
        <v>19</v>
      </c>
      <c r="C157" s="80" t="s">
        <v>1926</v>
      </c>
      <c r="D157" s="80" t="s">
        <v>266</v>
      </c>
      <c r="E157" s="80" t="s">
        <v>267</v>
      </c>
      <c r="F157" s="88" t="s">
        <v>21</v>
      </c>
      <c r="G157" s="80" t="s">
        <v>1940</v>
      </c>
      <c r="H157" s="80" t="s">
        <v>1940</v>
      </c>
      <c r="I157" s="80" t="s">
        <v>268</v>
      </c>
      <c r="J157" s="80" t="s">
        <v>1858</v>
      </c>
      <c r="K157" s="80" t="s">
        <v>269</v>
      </c>
      <c r="L157" s="82" t="s">
        <v>30</v>
      </c>
      <c r="M157" s="80"/>
      <c r="N157" s="80" t="s">
        <v>21</v>
      </c>
      <c r="O157" s="83"/>
      <c r="P157" s="80"/>
      <c r="Q157" s="80" t="s">
        <v>24</v>
      </c>
      <c r="R157" s="80"/>
    </row>
    <row r="158" spans="1:18" ht="34.5" hidden="1" x14ac:dyDescent="0.35">
      <c r="A158" s="86" t="s">
        <v>411</v>
      </c>
      <c r="B158" s="79" t="s">
        <v>19</v>
      </c>
      <c r="C158" s="87" t="s">
        <v>1926</v>
      </c>
      <c r="D158" s="87" t="s">
        <v>412</v>
      </c>
      <c r="E158" s="87"/>
      <c r="F158" s="105" t="s">
        <v>413</v>
      </c>
      <c r="G158" s="87" t="s">
        <v>1941</v>
      </c>
      <c r="H158" s="87"/>
      <c r="I158" s="87" t="s">
        <v>1942</v>
      </c>
      <c r="J158" s="87" t="s">
        <v>1831</v>
      </c>
      <c r="K158" s="87" t="s">
        <v>78</v>
      </c>
      <c r="L158" s="85" t="s">
        <v>79</v>
      </c>
      <c r="M158" s="87" t="s">
        <v>397</v>
      </c>
      <c r="N158" s="87" t="s">
        <v>413</v>
      </c>
      <c r="O158" s="90" t="s">
        <v>1829</v>
      </c>
      <c r="P158" s="87" t="s">
        <v>414</v>
      </c>
      <c r="Q158" s="87" t="s">
        <v>39</v>
      </c>
      <c r="R158" s="87" t="s">
        <v>415</v>
      </c>
    </row>
    <row r="159" spans="1:18" ht="34.5" hidden="1" x14ac:dyDescent="0.35">
      <c r="A159" s="86" t="s">
        <v>639</v>
      </c>
      <c r="B159" s="79" t="s">
        <v>19</v>
      </c>
      <c r="C159" s="87" t="s">
        <v>1926</v>
      </c>
      <c r="D159" s="87" t="s">
        <v>640</v>
      </c>
      <c r="E159" s="87"/>
      <c r="F159" s="101" t="s">
        <v>1912</v>
      </c>
      <c r="G159" s="87" t="s">
        <v>641</v>
      </c>
      <c r="H159" s="87" t="s">
        <v>642</v>
      </c>
      <c r="I159" s="87"/>
      <c r="J159" s="87"/>
      <c r="K159" s="87" t="s">
        <v>499</v>
      </c>
      <c r="L159" s="102" t="s">
        <v>280</v>
      </c>
      <c r="M159" s="87" t="s">
        <v>643</v>
      </c>
      <c r="N159" s="87" t="s">
        <v>290</v>
      </c>
      <c r="O159" s="90"/>
      <c r="P159" s="87"/>
      <c r="Q159" s="87" t="s">
        <v>509</v>
      </c>
      <c r="R159" s="87"/>
    </row>
    <row r="160" spans="1:18" ht="23" hidden="1" x14ac:dyDescent="0.35">
      <c r="A160" s="86" t="s">
        <v>121</v>
      </c>
      <c r="B160" s="79" t="s">
        <v>19</v>
      </c>
      <c r="C160" s="87" t="s">
        <v>1926</v>
      </c>
      <c r="D160" s="87" t="s">
        <v>122</v>
      </c>
      <c r="E160" s="87" t="s">
        <v>123</v>
      </c>
      <c r="F160" s="88" t="s">
        <v>21</v>
      </c>
      <c r="G160" s="87" t="s">
        <v>1943</v>
      </c>
      <c r="H160" s="87" t="s">
        <v>1943</v>
      </c>
      <c r="I160" s="87" t="s">
        <v>124</v>
      </c>
      <c r="J160" s="87" t="s">
        <v>1848</v>
      </c>
      <c r="K160" s="87" t="s">
        <v>125</v>
      </c>
      <c r="L160" s="82" t="s">
        <v>30</v>
      </c>
      <c r="M160" s="87"/>
      <c r="N160" s="87" t="s">
        <v>21</v>
      </c>
      <c r="O160" s="90"/>
      <c r="P160" s="87"/>
      <c r="Q160" s="87" t="s">
        <v>24</v>
      </c>
      <c r="R160" s="87"/>
    </row>
    <row r="161" spans="1:18" ht="23" hidden="1" x14ac:dyDescent="0.35">
      <c r="A161" s="86" t="s">
        <v>689</v>
      </c>
      <c r="B161" s="79" t="s">
        <v>19</v>
      </c>
      <c r="C161" s="87" t="s">
        <v>1926</v>
      </c>
      <c r="D161" s="87" t="s">
        <v>690</v>
      </c>
      <c r="E161" s="87" t="s">
        <v>691</v>
      </c>
      <c r="F161" s="88" t="s">
        <v>21</v>
      </c>
      <c r="G161" s="87" t="s">
        <v>1944</v>
      </c>
      <c r="H161" s="87"/>
      <c r="I161" s="87" t="s">
        <v>1945</v>
      </c>
      <c r="J161" s="87" t="s">
        <v>1834</v>
      </c>
      <c r="K161" s="87"/>
      <c r="L161" s="89" t="s">
        <v>23</v>
      </c>
      <c r="M161" s="87" t="s">
        <v>397</v>
      </c>
      <c r="N161" s="87"/>
      <c r="O161" s="90"/>
      <c r="P161" s="87"/>
      <c r="Q161" s="87" t="s">
        <v>24</v>
      </c>
      <c r="R161" s="87"/>
    </row>
    <row r="162" spans="1:18" ht="23" hidden="1" x14ac:dyDescent="0.35">
      <c r="A162" s="78" t="s">
        <v>126</v>
      </c>
      <c r="B162" s="79" t="s">
        <v>19</v>
      </c>
      <c r="C162" s="80" t="s">
        <v>1926</v>
      </c>
      <c r="D162" s="80" t="s">
        <v>127</v>
      </c>
      <c r="E162" s="80" t="s">
        <v>128</v>
      </c>
      <c r="F162" s="88" t="s">
        <v>21</v>
      </c>
      <c r="G162" s="80" t="s">
        <v>1946</v>
      </c>
      <c r="H162" s="80"/>
      <c r="I162" s="80" t="s">
        <v>1947</v>
      </c>
      <c r="J162" s="80" t="s">
        <v>1858</v>
      </c>
      <c r="K162" s="80"/>
      <c r="L162" s="89" t="s">
        <v>23</v>
      </c>
      <c r="M162" s="80" t="s">
        <v>397</v>
      </c>
      <c r="N162" s="80"/>
      <c r="O162" s="83"/>
      <c r="P162" s="80"/>
      <c r="Q162" s="80" t="s">
        <v>24</v>
      </c>
      <c r="R162" s="80"/>
    </row>
    <row r="163" spans="1:18" ht="34.5" hidden="1" x14ac:dyDescent="0.35">
      <c r="A163" s="78" t="s">
        <v>175</v>
      </c>
      <c r="B163" s="79" t="s">
        <v>19</v>
      </c>
      <c r="C163" s="80" t="s">
        <v>1926</v>
      </c>
      <c r="D163" s="80" t="s">
        <v>176</v>
      </c>
      <c r="E163" s="80" t="s">
        <v>177</v>
      </c>
      <c r="F163" s="88" t="s">
        <v>21</v>
      </c>
      <c r="G163" s="80" t="s">
        <v>1948</v>
      </c>
      <c r="H163" s="80" t="s">
        <v>1948</v>
      </c>
      <c r="I163" s="80" t="s">
        <v>1949</v>
      </c>
      <c r="J163" s="80" t="s">
        <v>1864</v>
      </c>
      <c r="K163" s="80"/>
      <c r="L163" s="89" t="s">
        <v>23</v>
      </c>
      <c r="M163" s="80" t="s">
        <v>397</v>
      </c>
      <c r="N163" s="80" t="s">
        <v>21</v>
      </c>
      <c r="O163" s="83"/>
      <c r="P163" s="80"/>
      <c r="Q163" s="80" t="s">
        <v>24</v>
      </c>
      <c r="R163" s="80"/>
    </row>
    <row r="164" spans="1:18" ht="23" hidden="1" x14ac:dyDescent="0.35">
      <c r="A164" s="86" t="s">
        <v>229</v>
      </c>
      <c r="B164" s="79" t="s">
        <v>19</v>
      </c>
      <c r="C164" s="87" t="s">
        <v>1950</v>
      </c>
      <c r="D164" s="87" t="s">
        <v>230</v>
      </c>
      <c r="E164" s="87" t="s">
        <v>231</v>
      </c>
      <c r="F164" s="88" t="s">
        <v>21</v>
      </c>
      <c r="G164" s="87" t="s">
        <v>1951</v>
      </c>
      <c r="H164" s="87" t="s">
        <v>1952</v>
      </c>
      <c r="I164" s="87" t="s">
        <v>1953</v>
      </c>
      <c r="J164" s="87" t="s">
        <v>1848</v>
      </c>
      <c r="K164" s="87" t="s">
        <v>232</v>
      </c>
      <c r="L164" s="82" t="s">
        <v>30</v>
      </c>
      <c r="M164" s="87"/>
      <c r="N164" s="87" t="s">
        <v>21</v>
      </c>
      <c r="O164" s="90"/>
      <c r="P164" s="87"/>
      <c r="Q164" s="87" t="s">
        <v>24</v>
      </c>
      <c r="R164" s="87"/>
    </row>
    <row r="165" spans="1:18" ht="34.5" hidden="1" x14ac:dyDescent="0.35">
      <c r="A165" s="78" t="s">
        <v>556</v>
      </c>
      <c r="B165" s="79" t="s">
        <v>19</v>
      </c>
      <c r="C165" s="80" t="s">
        <v>1950</v>
      </c>
      <c r="D165" s="80" t="s">
        <v>557</v>
      </c>
      <c r="E165" s="80" t="s">
        <v>558</v>
      </c>
      <c r="F165" s="88" t="s">
        <v>21</v>
      </c>
      <c r="G165" s="80" t="s">
        <v>1954</v>
      </c>
      <c r="H165" s="80" t="s">
        <v>1955</v>
      </c>
      <c r="I165" s="80" t="s">
        <v>444</v>
      </c>
      <c r="J165" s="80" t="s">
        <v>1874</v>
      </c>
      <c r="K165" s="80" t="s">
        <v>445</v>
      </c>
      <c r="L165" s="82" t="s">
        <v>30</v>
      </c>
      <c r="M165" s="80"/>
      <c r="N165" s="80" t="s">
        <v>21</v>
      </c>
      <c r="O165" s="83"/>
      <c r="P165" s="80"/>
      <c r="Q165" s="80" t="s">
        <v>24</v>
      </c>
      <c r="R165" s="80"/>
    </row>
    <row r="166" spans="1:18" ht="34.5" hidden="1" x14ac:dyDescent="0.35">
      <c r="A166" s="78" t="s">
        <v>110</v>
      </c>
      <c r="B166" s="79" t="s">
        <v>19</v>
      </c>
      <c r="C166" s="80" t="s">
        <v>1950</v>
      </c>
      <c r="D166" s="80" t="s">
        <v>111</v>
      </c>
      <c r="E166" s="80" t="s">
        <v>112</v>
      </c>
      <c r="F166" s="88" t="s">
        <v>21</v>
      </c>
      <c r="G166" s="80" t="s">
        <v>1956</v>
      </c>
      <c r="H166" s="80"/>
      <c r="I166" s="80" t="s">
        <v>1883</v>
      </c>
      <c r="J166" s="80" t="s">
        <v>1846</v>
      </c>
      <c r="K166" s="80"/>
      <c r="L166" s="89" t="s">
        <v>23</v>
      </c>
      <c r="M166" s="80" t="s">
        <v>397</v>
      </c>
      <c r="N166" s="80"/>
      <c r="O166" s="83"/>
      <c r="P166" s="80"/>
      <c r="Q166" s="80" t="s">
        <v>24</v>
      </c>
      <c r="R166" s="80"/>
    </row>
    <row r="167" spans="1:18" ht="34.5" hidden="1" x14ac:dyDescent="0.35">
      <c r="A167" s="78" t="s">
        <v>667</v>
      </c>
      <c r="B167" s="79" t="s">
        <v>19</v>
      </c>
      <c r="C167" s="80" t="s">
        <v>1950</v>
      </c>
      <c r="D167" s="80" t="s">
        <v>668</v>
      </c>
      <c r="E167" s="80" t="s">
        <v>669</v>
      </c>
      <c r="F167" s="88" t="s">
        <v>21</v>
      </c>
      <c r="G167" s="80" t="s">
        <v>1957</v>
      </c>
      <c r="H167" s="80"/>
      <c r="I167" s="80" t="s">
        <v>1945</v>
      </c>
      <c r="J167" s="80" t="s">
        <v>1834</v>
      </c>
      <c r="K167" s="80"/>
      <c r="L167" s="89" t="s">
        <v>23</v>
      </c>
      <c r="M167" s="80" t="s">
        <v>397</v>
      </c>
      <c r="N167" s="80"/>
      <c r="O167" s="83"/>
      <c r="P167" s="80"/>
      <c r="Q167" s="80" t="s">
        <v>24</v>
      </c>
      <c r="R167" s="80"/>
    </row>
    <row r="168" spans="1:18" ht="23" hidden="1" x14ac:dyDescent="0.35">
      <c r="A168" s="78" t="s">
        <v>686</v>
      </c>
      <c r="B168" s="79" t="s">
        <v>19</v>
      </c>
      <c r="C168" s="80" t="s">
        <v>1950</v>
      </c>
      <c r="D168" s="80" t="s">
        <v>687</v>
      </c>
      <c r="E168" s="80" t="s">
        <v>688</v>
      </c>
      <c r="F168" s="88" t="s">
        <v>21</v>
      </c>
      <c r="G168" s="80" t="s">
        <v>1958</v>
      </c>
      <c r="H168" s="80" t="s">
        <v>1958</v>
      </c>
      <c r="I168" s="80" t="s">
        <v>1959</v>
      </c>
      <c r="J168" s="80" t="s">
        <v>1834</v>
      </c>
      <c r="K168" s="80" t="s">
        <v>236</v>
      </c>
      <c r="L168" s="82" t="s">
        <v>30</v>
      </c>
      <c r="M168" s="80"/>
      <c r="N168" s="80" t="s">
        <v>21</v>
      </c>
      <c r="O168" s="83"/>
      <c r="P168" s="80"/>
      <c r="Q168" s="80" t="s">
        <v>24</v>
      </c>
      <c r="R168" s="80"/>
    </row>
    <row r="169" spans="1:18" ht="23" hidden="1" x14ac:dyDescent="0.35">
      <c r="A169" s="78" t="s">
        <v>692</v>
      </c>
      <c r="B169" s="79" t="s">
        <v>19</v>
      </c>
      <c r="C169" s="80" t="s">
        <v>1950</v>
      </c>
      <c r="D169" s="80" t="s">
        <v>693</v>
      </c>
      <c r="E169" s="80" t="s">
        <v>694</v>
      </c>
      <c r="F169" s="88" t="s">
        <v>21</v>
      </c>
      <c r="G169" s="80" t="s">
        <v>1960</v>
      </c>
      <c r="H169" s="80"/>
      <c r="I169" s="80" t="s">
        <v>695</v>
      </c>
      <c r="J169" s="80" t="s">
        <v>1848</v>
      </c>
      <c r="K169" s="80"/>
      <c r="L169" s="89" t="s">
        <v>23</v>
      </c>
      <c r="M169" s="80" t="s">
        <v>397</v>
      </c>
      <c r="N169" s="80" t="s">
        <v>21</v>
      </c>
      <c r="O169" s="83"/>
      <c r="P169" s="80"/>
      <c r="Q169" s="80" t="s">
        <v>24</v>
      </c>
      <c r="R169" s="80"/>
    </row>
    <row r="170" spans="1:18" ht="23" hidden="1" x14ac:dyDescent="0.35">
      <c r="A170" s="86" t="s">
        <v>696</v>
      </c>
      <c r="B170" s="79" t="s">
        <v>19</v>
      </c>
      <c r="C170" s="87" t="s">
        <v>1950</v>
      </c>
      <c r="D170" s="87" t="s">
        <v>697</v>
      </c>
      <c r="E170" s="87" t="s">
        <v>698</v>
      </c>
      <c r="F170" s="88" t="s">
        <v>21</v>
      </c>
      <c r="G170" s="87" t="s">
        <v>1961</v>
      </c>
      <c r="H170" s="87"/>
      <c r="I170" s="87" t="s">
        <v>1883</v>
      </c>
      <c r="J170" s="87" t="s">
        <v>1846</v>
      </c>
      <c r="K170" s="87"/>
      <c r="L170" s="89" t="s">
        <v>23</v>
      </c>
      <c r="M170" s="87" t="s">
        <v>397</v>
      </c>
      <c r="N170" s="87" t="s">
        <v>21</v>
      </c>
      <c r="O170" s="90"/>
      <c r="P170" s="87"/>
      <c r="Q170" s="87" t="s">
        <v>24</v>
      </c>
      <c r="R170" s="87"/>
    </row>
    <row r="171" spans="1:18" ht="23" hidden="1" x14ac:dyDescent="0.35">
      <c r="A171" s="78" t="s">
        <v>699</v>
      </c>
      <c r="B171" s="79" t="s">
        <v>19</v>
      </c>
      <c r="C171" s="80" t="s">
        <v>1950</v>
      </c>
      <c r="D171" s="80" t="s">
        <v>700</v>
      </c>
      <c r="E171" s="80" t="s">
        <v>701</v>
      </c>
      <c r="F171" s="88" t="s">
        <v>21</v>
      </c>
      <c r="G171" s="80" t="s">
        <v>1962</v>
      </c>
      <c r="H171" s="80"/>
      <c r="I171" s="80" t="s">
        <v>424</v>
      </c>
      <c r="J171" s="80" t="s">
        <v>1851</v>
      </c>
      <c r="K171" s="80" t="s">
        <v>425</v>
      </c>
      <c r="L171" s="82" t="s">
        <v>30</v>
      </c>
      <c r="M171" s="80"/>
      <c r="N171" s="80" t="s">
        <v>21</v>
      </c>
      <c r="O171" s="83"/>
      <c r="P171" s="80"/>
      <c r="Q171" s="80" t="s">
        <v>24</v>
      </c>
      <c r="R171" s="80"/>
    </row>
    <row r="172" spans="1:18" ht="23" hidden="1" x14ac:dyDescent="0.35">
      <c r="A172" s="78" t="s">
        <v>134</v>
      </c>
      <c r="B172" s="79" t="s">
        <v>19</v>
      </c>
      <c r="C172" s="80" t="s">
        <v>1950</v>
      </c>
      <c r="D172" s="80" t="s">
        <v>135</v>
      </c>
      <c r="E172" s="80" t="s">
        <v>136</v>
      </c>
      <c r="F172" s="88" t="s">
        <v>21</v>
      </c>
      <c r="G172" s="80" t="s">
        <v>1963</v>
      </c>
      <c r="H172" s="80" t="s">
        <v>1964</v>
      </c>
      <c r="I172" s="80" t="s">
        <v>137</v>
      </c>
      <c r="J172" s="80" t="s">
        <v>1848</v>
      </c>
      <c r="K172" s="80" t="s">
        <v>125</v>
      </c>
      <c r="L172" s="82" t="s">
        <v>30</v>
      </c>
      <c r="M172" s="80"/>
      <c r="N172" s="80" t="s">
        <v>21</v>
      </c>
      <c r="O172" s="83"/>
      <c r="P172" s="80"/>
      <c r="Q172" s="80" t="s">
        <v>24</v>
      </c>
      <c r="R172" s="80"/>
    </row>
    <row r="173" spans="1:18" ht="23" hidden="1" x14ac:dyDescent="0.35">
      <c r="A173" s="86" t="s">
        <v>138</v>
      </c>
      <c r="B173" s="79" t="s">
        <v>19</v>
      </c>
      <c r="C173" s="87" t="s">
        <v>1950</v>
      </c>
      <c r="D173" s="87" t="s">
        <v>139</v>
      </c>
      <c r="E173" s="87" t="s">
        <v>140</v>
      </c>
      <c r="F173" s="88" t="s">
        <v>21</v>
      </c>
      <c r="G173" s="87" t="s">
        <v>1965</v>
      </c>
      <c r="H173" s="87"/>
      <c r="I173" s="87" t="s">
        <v>141</v>
      </c>
      <c r="J173" s="87" t="s">
        <v>1834</v>
      </c>
      <c r="K173" s="87"/>
      <c r="L173" s="89" t="s">
        <v>23</v>
      </c>
      <c r="M173" s="87" t="s">
        <v>397</v>
      </c>
      <c r="N173" s="87" t="s">
        <v>21</v>
      </c>
      <c r="O173" s="90"/>
      <c r="P173" s="87"/>
      <c r="Q173" s="87" t="s">
        <v>24</v>
      </c>
      <c r="R173" s="87"/>
    </row>
    <row r="174" spans="1:18" ht="34.5" hidden="1" x14ac:dyDescent="0.35">
      <c r="A174" s="78" t="s">
        <v>142</v>
      </c>
      <c r="B174" s="79" t="s">
        <v>19</v>
      </c>
      <c r="C174" s="80" t="s">
        <v>1950</v>
      </c>
      <c r="D174" s="80" t="s">
        <v>143</v>
      </c>
      <c r="E174" s="80" t="s">
        <v>144</v>
      </c>
      <c r="F174" s="88" t="s">
        <v>21</v>
      </c>
      <c r="G174" s="80" t="s">
        <v>1966</v>
      </c>
      <c r="H174" s="80"/>
      <c r="I174" s="80" t="s">
        <v>132</v>
      </c>
      <c r="J174" s="80" t="s">
        <v>1841</v>
      </c>
      <c r="K174" s="80" t="s">
        <v>145</v>
      </c>
      <c r="L174" s="82" t="s">
        <v>30</v>
      </c>
      <c r="M174" s="80"/>
      <c r="N174" s="80" t="s">
        <v>21</v>
      </c>
      <c r="O174" s="83"/>
      <c r="P174" s="80"/>
      <c r="Q174" s="80" t="s">
        <v>24</v>
      </c>
      <c r="R174" s="80"/>
    </row>
    <row r="175" spans="1:18" ht="23" hidden="1" x14ac:dyDescent="0.35">
      <c r="A175" s="86" t="s">
        <v>713</v>
      </c>
      <c r="B175" s="79" t="s">
        <v>19</v>
      </c>
      <c r="C175" s="87" t="s">
        <v>1950</v>
      </c>
      <c r="D175" s="87" t="s">
        <v>714</v>
      </c>
      <c r="E175" s="87" t="s">
        <v>715</v>
      </c>
      <c r="F175" s="88" t="s">
        <v>21</v>
      </c>
      <c r="G175" s="87" t="s">
        <v>1967</v>
      </c>
      <c r="H175" s="87" t="s">
        <v>1967</v>
      </c>
      <c r="I175" s="87" t="s">
        <v>716</v>
      </c>
      <c r="J175" s="87" t="s">
        <v>1851</v>
      </c>
      <c r="K175" s="87" t="s">
        <v>403</v>
      </c>
      <c r="L175" s="82" t="s">
        <v>30</v>
      </c>
      <c r="M175" s="87"/>
      <c r="N175" s="87" t="s">
        <v>21</v>
      </c>
      <c r="O175" s="90"/>
      <c r="P175" s="87"/>
      <c r="Q175" s="87" t="s">
        <v>24</v>
      </c>
      <c r="R175" s="87"/>
    </row>
    <row r="176" spans="1:18" ht="23" hidden="1" x14ac:dyDescent="0.35">
      <c r="A176" s="78" t="s">
        <v>717</v>
      </c>
      <c r="B176" s="79" t="s">
        <v>19</v>
      </c>
      <c r="C176" s="80" t="s">
        <v>1950</v>
      </c>
      <c r="D176" s="80" t="s">
        <v>718</v>
      </c>
      <c r="E176" s="80" t="s">
        <v>719</v>
      </c>
      <c r="F176" s="88" t="s">
        <v>21</v>
      </c>
      <c r="G176" s="80" t="s">
        <v>1968</v>
      </c>
      <c r="H176" s="80" t="s">
        <v>1968</v>
      </c>
      <c r="I176" s="80" t="s">
        <v>116</v>
      </c>
      <c r="J176" s="80" t="s">
        <v>1854</v>
      </c>
      <c r="K176" s="80" t="s">
        <v>720</v>
      </c>
      <c r="L176" s="82" t="s">
        <v>30</v>
      </c>
      <c r="M176" s="80"/>
      <c r="N176" s="80" t="s">
        <v>721</v>
      </c>
      <c r="O176" s="83"/>
      <c r="P176" s="80"/>
      <c r="Q176" s="80" t="s">
        <v>24</v>
      </c>
      <c r="R176" s="80"/>
    </row>
    <row r="177" spans="1:18" ht="23" hidden="1" x14ac:dyDescent="0.35">
      <c r="A177" s="86" t="s">
        <v>146</v>
      </c>
      <c r="B177" s="79" t="s">
        <v>19</v>
      </c>
      <c r="C177" s="87" t="s">
        <v>1950</v>
      </c>
      <c r="D177" s="87" t="s">
        <v>147</v>
      </c>
      <c r="E177" s="87" t="s">
        <v>148</v>
      </c>
      <c r="F177" s="88" t="s">
        <v>21</v>
      </c>
      <c r="G177" s="87" t="s">
        <v>1969</v>
      </c>
      <c r="H177" s="87"/>
      <c r="I177" s="87" t="s">
        <v>149</v>
      </c>
      <c r="J177" s="87" t="s">
        <v>1841</v>
      </c>
      <c r="K177" s="87" t="s">
        <v>150</v>
      </c>
      <c r="L177" s="82" t="s">
        <v>30</v>
      </c>
      <c r="M177" s="87"/>
      <c r="N177" s="87" t="s">
        <v>21</v>
      </c>
      <c r="O177" s="90"/>
      <c r="P177" s="87"/>
      <c r="Q177" s="87" t="s">
        <v>24</v>
      </c>
      <c r="R177" s="87"/>
    </row>
    <row r="178" spans="1:18" ht="34.5" hidden="1" x14ac:dyDescent="0.35">
      <c r="A178" s="78" t="s">
        <v>722</v>
      </c>
      <c r="B178" s="79" t="s">
        <v>19</v>
      </c>
      <c r="C178" s="80" t="s">
        <v>1950</v>
      </c>
      <c r="D178" s="80" t="s">
        <v>723</v>
      </c>
      <c r="E178" s="80" t="s">
        <v>724</v>
      </c>
      <c r="F178" s="88" t="s">
        <v>21</v>
      </c>
      <c r="G178" s="80" t="s">
        <v>1970</v>
      </c>
      <c r="H178" s="80"/>
      <c r="I178" s="80" t="s">
        <v>132</v>
      </c>
      <c r="J178" s="80" t="s">
        <v>1841</v>
      </c>
      <c r="K178" s="80" t="s">
        <v>150</v>
      </c>
      <c r="L178" s="82" t="s">
        <v>30</v>
      </c>
      <c r="M178" s="80"/>
      <c r="N178" s="80" t="s">
        <v>725</v>
      </c>
      <c r="O178" s="83"/>
      <c r="P178" s="80"/>
      <c r="Q178" s="80" t="s">
        <v>24</v>
      </c>
      <c r="R178" s="80"/>
    </row>
    <row r="179" spans="1:18" ht="23" hidden="1" x14ac:dyDescent="0.35">
      <c r="A179" s="78" t="s">
        <v>730</v>
      </c>
      <c r="B179" s="79" t="s">
        <v>19</v>
      </c>
      <c r="C179" s="80" t="s">
        <v>1950</v>
      </c>
      <c r="D179" s="80" t="s">
        <v>731</v>
      </c>
      <c r="E179" s="80" t="s">
        <v>732</v>
      </c>
      <c r="F179" s="88" t="s">
        <v>21</v>
      </c>
      <c r="G179" s="80" t="s">
        <v>1971</v>
      </c>
      <c r="H179" s="80" t="s">
        <v>1971</v>
      </c>
      <c r="I179" s="80" t="s">
        <v>733</v>
      </c>
      <c r="J179" s="80" t="s">
        <v>1854</v>
      </c>
      <c r="K179" s="80" t="s">
        <v>432</v>
      </c>
      <c r="L179" s="82" t="s">
        <v>30</v>
      </c>
      <c r="M179" s="80"/>
      <c r="N179" s="80" t="s">
        <v>734</v>
      </c>
      <c r="O179" s="83"/>
      <c r="P179" s="80"/>
      <c r="Q179" s="80" t="s">
        <v>24</v>
      </c>
      <c r="R179" s="80"/>
    </row>
    <row r="180" spans="1:18" ht="23" hidden="1" x14ac:dyDescent="0.35">
      <c r="A180" s="86" t="s">
        <v>735</v>
      </c>
      <c r="B180" s="79" t="s">
        <v>19</v>
      </c>
      <c r="C180" s="87" t="s">
        <v>1950</v>
      </c>
      <c r="D180" s="87" t="s">
        <v>736</v>
      </c>
      <c r="E180" s="87" t="s">
        <v>737</v>
      </c>
      <c r="F180" s="88" t="s">
        <v>21</v>
      </c>
      <c r="G180" s="87" t="s">
        <v>1972</v>
      </c>
      <c r="H180" s="87" t="s">
        <v>1972</v>
      </c>
      <c r="I180" s="87" t="s">
        <v>738</v>
      </c>
      <c r="J180" s="87" t="s">
        <v>1851</v>
      </c>
      <c r="K180" s="87" t="s">
        <v>739</v>
      </c>
      <c r="L180" s="82" t="s">
        <v>30</v>
      </c>
      <c r="M180" s="87"/>
      <c r="N180" s="87" t="s">
        <v>734</v>
      </c>
      <c r="O180" s="90"/>
      <c r="P180" s="87"/>
      <c r="Q180" s="87" t="s">
        <v>24</v>
      </c>
      <c r="R180" s="87"/>
    </row>
    <row r="181" spans="1:18" ht="23" hidden="1" x14ac:dyDescent="0.35">
      <c r="A181" s="86" t="s">
        <v>740</v>
      </c>
      <c r="B181" s="79" t="s">
        <v>19</v>
      </c>
      <c r="C181" s="87" t="s">
        <v>1950</v>
      </c>
      <c r="D181" s="87" t="s">
        <v>741</v>
      </c>
      <c r="E181" s="87" t="s">
        <v>742</v>
      </c>
      <c r="F181" s="88" t="s">
        <v>21</v>
      </c>
      <c r="G181" s="87" t="s">
        <v>1973</v>
      </c>
      <c r="H181" s="87" t="s">
        <v>1973</v>
      </c>
      <c r="I181" s="87" t="s">
        <v>1949</v>
      </c>
      <c r="J181" s="87" t="s">
        <v>1864</v>
      </c>
      <c r="K181" s="87"/>
      <c r="L181" s="89" t="s">
        <v>23</v>
      </c>
      <c r="M181" s="87" t="s">
        <v>397</v>
      </c>
      <c r="N181" s="87"/>
      <c r="O181" s="90"/>
      <c r="P181" s="87"/>
      <c r="Q181" s="87" t="s">
        <v>24</v>
      </c>
      <c r="R181" s="87"/>
    </row>
    <row r="182" spans="1:18" ht="34.5" hidden="1" x14ac:dyDescent="0.35">
      <c r="A182" s="78" t="s">
        <v>746</v>
      </c>
      <c r="B182" s="79" t="s">
        <v>19</v>
      </c>
      <c r="C182" s="80" t="s">
        <v>1950</v>
      </c>
      <c r="D182" s="80" t="s">
        <v>747</v>
      </c>
      <c r="E182" s="80" t="s">
        <v>748</v>
      </c>
      <c r="F182" s="88" t="s">
        <v>21</v>
      </c>
      <c r="G182" s="80" t="s">
        <v>1974</v>
      </c>
      <c r="H182" s="80" t="s">
        <v>1974</v>
      </c>
      <c r="I182" s="80" t="s">
        <v>749</v>
      </c>
      <c r="J182" s="80" t="s">
        <v>1854</v>
      </c>
      <c r="K182" s="80" t="s">
        <v>739</v>
      </c>
      <c r="L182" s="82" t="s">
        <v>30</v>
      </c>
      <c r="M182" s="80"/>
      <c r="N182" s="80" t="s">
        <v>750</v>
      </c>
      <c r="O182" s="83"/>
      <c r="P182" s="80"/>
      <c r="Q182" s="80" t="s">
        <v>24</v>
      </c>
      <c r="R182" s="80"/>
    </row>
    <row r="183" spans="1:18" ht="23" hidden="1" x14ac:dyDescent="0.35">
      <c r="A183" s="86" t="s">
        <v>18</v>
      </c>
      <c r="B183" s="79" t="s">
        <v>19</v>
      </c>
      <c r="C183" s="87" t="s">
        <v>1975</v>
      </c>
      <c r="D183" s="87" t="s">
        <v>20</v>
      </c>
      <c r="E183" s="87"/>
      <c r="F183" s="88" t="s">
        <v>21</v>
      </c>
      <c r="G183" s="87" t="s">
        <v>1976</v>
      </c>
      <c r="H183" s="87"/>
      <c r="I183" s="87" t="s">
        <v>22</v>
      </c>
      <c r="J183" s="87" t="s">
        <v>1854</v>
      </c>
      <c r="K183" s="87"/>
      <c r="L183" s="89" t="s">
        <v>23</v>
      </c>
      <c r="M183" s="87" t="s">
        <v>397</v>
      </c>
      <c r="N183" s="87"/>
      <c r="O183" s="90"/>
      <c r="P183" s="87"/>
      <c r="Q183" s="87" t="s">
        <v>24</v>
      </c>
      <c r="R183" s="87"/>
    </row>
    <row r="184" spans="1:18" ht="23" hidden="1" x14ac:dyDescent="0.35">
      <c r="A184" s="78" t="s">
        <v>25</v>
      </c>
      <c r="B184" s="79" t="s">
        <v>19</v>
      </c>
      <c r="C184" s="80" t="s">
        <v>1975</v>
      </c>
      <c r="D184" s="80" t="s">
        <v>26</v>
      </c>
      <c r="E184" s="80" t="s">
        <v>27</v>
      </c>
      <c r="F184" s="88" t="s">
        <v>21</v>
      </c>
      <c r="G184" s="80" t="s">
        <v>1977</v>
      </c>
      <c r="H184" s="80"/>
      <c r="I184" s="80" t="s">
        <v>28</v>
      </c>
      <c r="J184" s="80" t="s">
        <v>1851</v>
      </c>
      <c r="K184" s="80" t="s">
        <v>29</v>
      </c>
      <c r="L184" s="82" t="s">
        <v>30</v>
      </c>
      <c r="M184" s="80"/>
      <c r="N184" s="80" t="s">
        <v>31</v>
      </c>
      <c r="O184" s="83"/>
      <c r="P184" s="80"/>
      <c r="Q184" s="80" t="s">
        <v>24</v>
      </c>
      <c r="R184" s="80"/>
    </row>
    <row r="185" spans="1:18" ht="23" hidden="1" x14ac:dyDescent="0.35">
      <c r="A185" s="78" t="s">
        <v>160</v>
      </c>
      <c r="B185" s="79" t="s">
        <v>19</v>
      </c>
      <c r="C185" s="80" t="s">
        <v>1975</v>
      </c>
      <c r="D185" s="80" t="s">
        <v>161</v>
      </c>
      <c r="E185" s="80" t="s">
        <v>162</v>
      </c>
      <c r="F185" s="88" t="s">
        <v>21</v>
      </c>
      <c r="G185" s="80" t="s">
        <v>1978</v>
      </c>
      <c r="H185" s="80" t="s">
        <v>1979</v>
      </c>
      <c r="I185" s="80" t="s">
        <v>163</v>
      </c>
      <c r="J185" s="80" t="s">
        <v>1980</v>
      </c>
      <c r="K185" s="80" t="s">
        <v>164</v>
      </c>
      <c r="L185" s="82" t="s">
        <v>30</v>
      </c>
      <c r="M185" s="80"/>
      <c r="N185" s="80" t="s">
        <v>21</v>
      </c>
      <c r="O185" s="83"/>
      <c r="P185" s="80"/>
      <c r="Q185" s="80" t="s">
        <v>24</v>
      </c>
      <c r="R185" s="80"/>
    </row>
    <row r="186" spans="1:18" ht="34.5" hidden="1" x14ac:dyDescent="0.35">
      <c r="A186" s="86" t="s">
        <v>452</v>
      </c>
      <c r="B186" s="79" t="s">
        <v>19</v>
      </c>
      <c r="C186" s="87" t="s">
        <v>1975</v>
      </c>
      <c r="D186" s="87" t="s">
        <v>453</v>
      </c>
      <c r="E186" s="87" t="s">
        <v>454</v>
      </c>
      <c r="F186" s="88" t="s">
        <v>21</v>
      </c>
      <c r="G186" s="87" t="s">
        <v>1981</v>
      </c>
      <c r="H186" s="87" t="s">
        <v>1982</v>
      </c>
      <c r="I186" s="87" t="s">
        <v>163</v>
      </c>
      <c r="J186" s="87" t="s">
        <v>1980</v>
      </c>
      <c r="K186" s="87" t="s">
        <v>164</v>
      </c>
      <c r="L186" s="82" t="s">
        <v>30</v>
      </c>
      <c r="M186" s="87"/>
      <c r="N186" s="87" t="s">
        <v>21</v>
      </c>
      <c r="O186" s="90"/>
      <c r="P186" s="87"/>
      <c r="Q186" s="87" t="s">
        <v>24</v>
      </c>
      <c r="R186" s="87"/>
    </row>
    <row r="187" spans="1:18" ht="23" hidden="1" x14ac:dyDescent="0.35">
      <c r="A187" s="78" t="s">
        <v>165</v>
      </c>
      <c r="B187" s="79" t="s">
        <v>19</v>
      </c>
      <c r="C187" s="80" t="s">
        <v>1975</v>
      </c>
      <c r="D187" s="80" t="s">
        <v>166</v>
      </c>
      <c r="E187" s="80" t="s">
        <v>167</v>
      </c>
      <c r="F187" s="88" t="s">
        <v>21</v>
      </c>
      <c r="G187" s="80" t="s">
        <v>1983</v>
      </c>
      <c r="H187" s="80" t="s">
        <v>1984</v>
      </c>
      <c r="I187" s="80" t="s">
        <v>163</v>
      </c>
      <c r="J187" s="80" t="s">
        <v>1980</v>
      </c>
      <c r="K187" s="80" t="s">
        <v>164</v>
      </c>
      <c r="L187" s="82" t="s">
        <v>30</v>
      </c>
      <c r="M187" s="80"/>
      <c r="N187" s="80" t="s">
        <v>21</v>
      </c>
      <c r="O187" s="83"/>
      <c r="P187" s="80"/>
      <c r="Q187" s="80" t="s">
        <v>24</v>
      </c>
      <c r="R187" s="80"/>
    </row>
    <row r="188" spans="1:18" ht="23" hidden="1" x14ac:dyDescent="0.35">
      <c r="A188" s="86" t="s">
        <v>178</v>
      </c>
      <c r="B188" s="79" t="s">
        <v>19</v>
      </c>
      <c r="C188" s="87" t="s">
        <v>1975</v>
      </c>
      <c r="D188" s="87" t="s">
        <v>179</v>
      </c>
      <c r="E188" s="87"/>
      <c r="F188" s="87" t="s">
        <v>180</v>
      </c>
      <c r="G188" s="87" t="s">
        <v>181</v>
      </c>
      <c r="H188" s="87"/>
      <c r="I188" s="87" t="s">
        <v>1985</v>
      </c>
      <c r="J188" s="87" t="s">
        <v>1837</v>
      </c>
      <c r="K188" s="87" t="s">
        <v>106</v>
      </c>
      <c r="L188" s="92" t="s">
        <v>107</v>
      </c>
      <c r="M188" s="87" t="s">
        <v>397</v>
      </c>
      <c r="N188" s="87" t="s">
        <v>180</v>
      </c>
      <c r="O188" s="90" t="s">
        <v>1829</v>
      </c>
      <c r="P188" s="87"/>
      <c r="Q188" s="87" t="s">
        <v>39</v>
      </c>
      <c r="R188" s="87" t="s">
        <v>182</v>
      </c>
    </row>
    <row r="189" spans="1:18" ht="34.5" hidden="1" x14ac:dyDescent="0.35">
      <c r="A189" s="86" t="s">
        <v>515</v>
      </c>
      <c r="B189" s="79" t="s">
        <v>19</v>
      </c>
      <c r="C189" s="87" t="s">
        <v>1975</v>
      </c>
      <c r="D189" s="87" t="s">
        <v>516</v>
      </c>
      <c r="E189" s="87" t="s">
        <v>517</v>
      </c>
      <c r="F189" s="88" t="s">
        <v>21</v>
      </c>
      <c r="G189" s="87" t="s">
        <v>1986</v>
      </c>
      <c r="H189" s="87"/>
      <c r="I189" s="87" t="s">
        <v>219</v>
      </c>
      <c r="J189" s="87" t="s">
        <v>1846</v>
      </c>
      <c r="K189" s="87"/>
      <c r="L189" s="89" t="s">
        <v>23</v>
      </c>
      <c r="M189" s="87" t="s">
        <v>397</v>
      </c>
      <c r="N189" s="87" t="s">
        <v>21</v>
      </c>
      <c r="O189" s="90"/>
      <c r="P189" s="87"/>
      <c r="Q189" s="87" t="s">
        <v>24</v>
      </c>
      <c r="R189" s="87"/>
    </row>
    <row r="190" spans="1:18" ht="34.5" hidden="1" x14ac:dyDescent="0.35">
      <c r="A190" s="86" t="s">
        <v>168</v>
      </c>
      <c r="B190" s="79" t="s">
        <v>19</v>
      </c>
      <c r="C190" s="87" t="s">
        <v>1975</v>
      </c>
      <c r="D190" s="87" t="s">
        <v>169</v>
      </c>
      <c r="E190" s="87"/>
      <c r="F190" s="93" t="s">
        <v>170</v>
      </c>
      <c r="G190" s="87" t="s">
        <v>171</v>
      </c>
      <c r="H190" s="87"/>
      <c r="I190" s="87" t="s">
        <v>172</v>
      </c>
      <c r="J190" s="87" t="s">
        <v>1867</v>
      </c>
      <c r="K190" s="87" t="s">
        <v>78</v>
      </c>
      <c r="L190" s="85" t="s">
        <v>79</v>
      </c>
      <c r="M190" s="87" t="s">
        <v>397</v>
      </c>
      <c r="N190" s="87" t="s">
        <v>170</v>
      </c>
      <c r="O190" s="90" t="s">
        <v>1829</v>
      </c>
      <c r="P190" s="87" t="s">
        <v>173</v>
      </c>
      <c r="Q190" s="87" t="s">
        <v>39</v>
      </c>
      <c r="R190" s="87" t="s">
        <v>174</v>
      </c>
    </row>
    <row r="191" spans="1:18" ht="23" hidden="1" x14ac:dyDescent="0.35">
      <c r="A191" s="86" t="s">
        <v>705</v>
      </c>
      <c r="B191" s="79" t="s">
        <v>19</v>
      </c>
      <c r="C191" s="87" t="s">
        <v>1975</v>
      </c>
      <c r="D191" s="87" t="s">
        <v>706</v>
      </c>
      <c r="E191" s="87" t="s">
        <v>707</v>
      </c>
      <c r="F191" s="88" t="s">
        <v>21</v>
      </c>
      <c r="G191" s="87" t="s">
        <v>1987</v>
      </c>
      <c r="H191" s="87" t="s">
        <v>1987</v>
      </c>
      <c r="I191" s="87" t="s">
        <v>1988</v>
      </c>
      <c r="J191" s="87" t="s">
        <v>1834</v>
      </c>
      <c r="K191" s="87" t="s">
        <v>584</v>
      </c>
      <c r="L191" s="82" t="s">
        <v>30</v>
      </c>
      <c r="M191" s="87"/>
      <c r="N191" s="87" t="s">
        <v>21</v>
      </c>
      <c r="O191" s="90"/>
      <c r="P191" s="87"/>
      <c r="Q191" s="87" t="s">
        <v>24</v>
      </c>
      <c r="R191" s="87"/>
    </row>
    <row r="192" spans="1:18" ht="34.5" hidden="1" x14ac:dyDescent="0.35">
      <c r="A192" s="78" t="s">
        <v>708</v>
      </c>
      <c r="B192" s="79" t="s">
        <v>19</v>
      </c>
      <c r="C192" s="80" t="s">
        <v>1975</v>
      </c>
      <c r="D192" s="80" t="s">
        <v>709</v>
      </c>
      <c r="E192" s="80" t="s">
        <v>710</v>
      </c>
      <c r="F192" s="88" t="s">
        <v>21</v>
      </c>
      <c r="G192" s="80" t="s">
        <v>1989</v>
      </c>
      <c r="H192" s="80"/>
      <c r="I192" s="80" t="s">
        <v>711</v>
      </c>
      <c r="J192" s="80" t="s">
        <v>1846</v>
      </c>
      <c r="K192" s="80"/>
      <c r="L192" s="89" t="s">
        <v>23</v>
      </c>
      <c r="M192" s="80" t="s">
        <v>397</v>
      </c>
      <c r="N192" s="80" t="s">
        <v>712</v>
      </c>
      <c r="O192" s="83"/>
      <c r="P192" s="80"/>
      <c r="Q192" s="80" t="s">
        <v>24</v>
      </c>
      <c r="R192" s="80"/>
    </row>
    <row r="193" spans="1:18" ht="23" hidden="1" x14ac:dyDescent="0.35">
      <c r="A193" s="78" t="s">
        <v>156</v>
      </c>
      <c r="B193" s="79" t="s">
        <v>19</v>
      </c>
      <c r="C193" s="80" t="s">
        <v>1990</v>
      </c>
      <c r="D193" s="80" t="s">
        <v>157</v>
      </c>
      <c r="E193" s="80" t="s">
        <v>158</v>
      </c>
      <c r="F193" s="88" t="s">
        <v>21</v>
      </c>
      <c r="G193" s="80" t="s">
        <v>1991</v>
      </c>
      <c r="H193" s="80"/>
      <c r="I193" s="80" t="s">
        <v>159</v>
      </c>
      <c r="J193" s="80" t="s">
        <v>1841</v>
      </c>
      <c r="K193" s="80" t="s">
        <v>150</v>
      </c>
      <c r="L193" s="82" t="s">
        <v>30</v>
      </c>
      <c r="M193" s="80"/>
      <c r="N193" s="80" t="s">
        <v>21</v>
      </c>
      <c r="O193" s="83"/>
      <c r="P193" s="80"/>
      <c r="Q193" s="80" t="s">
        <v>24</v>
      </c>
      <c r="R193" s="80"/>
    </row>
    <row r="194" spans="1:18" ht="34.5" hidden="1" x14ac:dyDescent="0.35">
      <c r="A194" s="86" t="s">
        <v>478</v>
      </c>
      <c r="B194" s="79" t="s">
        <v>19</v>
      </c>
      <c r="C194" s="87" t="s">
        <v>1990</v>
      </c>
      <c r="D194" s="87" t="s">
        <v>479</v>
      </c>
      <c r="E194" s="87" t="s">
        <v>480</v>
      </c>
      <c r="F194" s="88" t="s">
        <v>21</v>
      </c>
      <c r="G194" s="87" t="s">
        <v>1992</v>
      </c>
      <c r="H194" s="87"/>
      <c r="I194" s="87" t="s">
        <v>481</v>
      </c>
      <c r="J194" s="87" t="s">
        <v>1851</v>
      </c>
      <c r="K194" s="87" t="s">
        <v>403</v>
      </c>
      <c r="L194" s="82" t="s">
        <v>30</v>
      </c>
      <c r="M194" s="87"/>
      <c r="N194" s="87" t="s">
        <v>21</v>
      </c>
      <c r="O194" s="90"/>
      <c r="P194" s="87"/>
      <c r="Q194" s="87" t="s">
        <v>24</v>
      </c>
      <c r="R194" s="87"/>
    </row>
    <row r="195" spans="1:18" ht="23" hidden="1" x14ac:dyDescent="0.35">
      <c r="A195" s="78" t="s">
        <v>312</v>
      </c>
      <c r="B195" s="79" t="s">
        <v>19</v>
      </c>
      <c r="C195" s="80" t="s">
        <v>1990</v>
      </c>
      <c r="D195" s="80" t="s">
        <v>313</v>
      </c>
      <c r="E195" s="80" t="s">
        <v>314</v>
      </c>
      <c r="F195" s="88" t="s">
        <v>21</v>
      </c>
      <c r="G195" s="80" t="s">
        <v>1993</v>
      </c>
      <c r="H195" s="80"/>
      <c r="I195" s="80" t="s">
        <v>315</v>
      </c>
      <c r="J195" s="80" t="s">
        <v>1867</v>
      </c>
      <c r="K195" s="80"/>
      <c r="L195" s="89" t="s">
        <v>23</v>
      </c>
      <c r="M195" s="80" t="s">
        <v>397</v>
      </c>
      <c r="N195" s="80" t="s">
        <v>21</v>
      </c>
      <c r="O195" s="83"/>
      <c r="P195" s="80"/>
      <c r="Q195" s="80" t="s">
        <v>24</v>
      </c>
      <c r="R195" s="80"/>
    </row>
    <row r="196" spans="1:18" hidden="1" x14ac:dyDescent="0.35">
      <c r="A196" s="106" t="s">
        <v>1994</v>
      </c>
      <c r="B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</row>
    <row r="197" spans="1:18" ht="34.5" hidden="1" x14ac:dyDescent="0.35">
      <c r="A197" s="78" t="s">
        <v>1040</v>
      </c>
      <c r="B197" s="107" t="s">
        <v>831</v>
      </c>
      <c r="C197" s="80" t="s">
        <v>1995</v>
      </c>
      <c r="D197" s="80" t="s">
        <v>1041</v>
      </c>
      <c r="E197" s="80" t="s">
        <v>1042</v>
      </c>
      <c r="F197" s="88" t="s">
        <v>21</v>
      </c>
      <c r="G197" s="80" t="s">
        <v>1043</v>
      </c>
      <c r="H197" s="80"/>
      <c r="I197" s="80" t="s">
        <v>1996</v>
      </c>
      <c r="J197" s="80" t="s">
        <v>1846</v>
      </c>
      <c r="K197" s="80"/>
      <c r="L197" s="99" t="s">
        <v>273</v>
      </c>
      <c r="M197" s="80" t="s">
        <v>397</v>
      </c>
      <c r="N197" s="80"/>
      <c r="O197" s="83"/>
      <c r="P197" s="80"/>
      <c r="Q197" s="80" t="s">
        <v>24</v>
      </c>
      <c r="R197" s="80"/>
    </row>
    <row r="198" spans="1:18" ht="34.5" hidden="1" x14ac:dyDescent="0.35">
      <c r="A198" s="86" t="s">
        <v>1044</v>
      </c>
      <c r="B198" s="107" t="s">
        <v>831</v>
      </c>
      <c r="C198" s="87" t="s">
        <v>1995</v>
      </c>
      <c r="D198" s="87" t="s">
        <v>1045</v>
      </c>
      <c r="E198" s="87" t="s">
        <v>202</v>
      </c>
      <c r="F198" s="88" t="s">
        <v>21</v>
      </c>
      <c r="G198" s="87" t="s">
        <v>1997</v>
      </c>
      <c r="H198" s="87" t="s">
        <v>1046</v>
      </c>
      <c r="I198" s="87" t="s">
        <v>1047</v>
      </c>
      <c r="J198" s="87" t="s">
        <v>1864</v>
      </c>
      <c r="K198" s="87" t="s">
        <v>1998</v>
      </c>
      <c r="L198" s="108" t="s">
        <v>1048</v>
      </c>
      <c r="M198" s="87"/>
      <c r="N198" s="87" t="s">
        <v>21</v>
      </c>
      <c r="O198" s="90"/>
      <c r="P198" s="87"/>
      <c r="Q198" s="87" t="s">
        <v>24</v>
      </c>
      <c r="R198" s="87"/>
    </row>
    <row r="199" spans="1:18" ht="34.5" hidden="1" x14ac:dyDescent="0.35">
      <c r="A199" s="78" t="s">
        <v>1049</v>
      </c>
      <c r="B199" s="107" t="s">
        <v>831</v>
      </c>
      <c r="C199" s="80" t="s">
        <v>1995</v>
      </c>
      <c r="D199" s="80" t="s">
        <v>1050</v>
      </c>
      <c r="E199" s="80" t="s">
        <v>1051</v>
      </c>
      <c r="F199" s="88" t="s">
        <v>21</v>
      </c>
      <c r="G199" s="80" t="s">
        <v>1999</v>
      </c>
      <c r="H199" s="80" t="s">
        <v>1052</v>
      </c>
      <c r="I199" s="80" t="s">
        <v>1053</v>
      </c>
      <c r="J199" s="80" t="s">
        <v>1864</v>
      </c>
      <c r="K199" s="80" t="s">
        <v>1998</v>
      </c>
      <c r="L199" s="108" t="s">
        <v>1048</v>
      </c>
      <c r="M199" s="80"/>
      <c r="N199" s="80" t="s">
        <v>21</v>
      </c>
      <c r="O199" s="83"/>
      <c r="P199" s="80"/>
      <c r="Q199" s="80" t="s">
        <v>24</v>
      </c>
      <c r="R199" s="80"/>
    </row>
    <row r="200" spans="1:18" ht="34.5" hidden="1" x14ac:dyDescent="0.35">
      <c r="A200" s="86" t="s">
        <v>1054</v>
      </c>
      <c r="B200" s="107" t="s">
        <v>831</v>
      </c>
      <c r="C200" s="87" t="s">
        <v>1995</v>
      </c>
      <c r="D200" s="87" t="s">
        <v>1055</v>
      </c>
      <c r="E200" s="87" t="s">
        <v>1056</v>
      </c>
      <c r="F200" s="88" t="s">
        <v>21</v>
      </c>
      <c r="G200" s="87" t="s">
        <v>2000</v>
      </c>
      <c r="H200" s="87" t="s">
        <v>2000</v>
      </c>
      <c r="I200" s="87" t="s">
        <v>1057</v>
      </c>
      <c r="J200" s="87" t="s">
        <v>1834</v>
      </c>
      <c r="K200" s="87" t="s">
        <v>651</v>
      </c>
      <c r="L200" s="82" t="s">
        <v>30</v>
      </c>
      <c r="M200" s="87"/>
      <c r="N200" s="87" t="s">
        <v>21</v>
      </c>
      <c r="O200" s="90"/>
      <c r="P200" s="87"/>
      <c r="Q200" s="87" t="s">
        <v>24</v>
      </c>
      <c r="R200" s="87"/>
    </row>
    <row r="201" spans="1:18" ht="34.5" hidden="1" x14ac:dyDescent="0.35">
      <c r="A201" s="78" t="s">
        <v>1058</v>
      </c>
      <c r="B201" s="107" t="s">
        <v>831</v>
      </c>
      <c r="C201" s="80" t="s">
        <v>1995</v>
      </c>
      <c r="D201" s="80" t="s">
        <v>1059</v>
      </c>
      <c r="E201" s="80" t="s">
        <v>1060</v>
      </c>
      <c r="F201" s="88" t="s">
        <v>21</v>
      </c>
      <c r="G201" s="80" t="s">
        <v>2001</v>
      </c>
      <c r="H201" s="80" t="s">
        <v>2002</v>
      </c>
      <c r="I201" s="80" t="s">
        <v>1061</v>
      </c>
      <c r="J201" s="80" t="s">
        <v>1980</v>
      </c>
      <c r="K201" s="80" t="s">
        <v>1062</v>
      </c>
      <c r="L201" s="82" t="s">
        <v>30</v>
      </c>
      <c r="M201" s="80"/>
      <c r="N201" s="80" t="s">
        <v>21</v>
      </c>
      <c r="O201" s="83"/>
      <c r="P201" s="80"/>
      <c r="Q201" s="80" t="s">
        <v>24</v>
      </c>
      <c r="R201" s="80"/>
    </row>
    <row r="202" spans="1:18" ht="34.5" hidden="1" x14ac:dyDescent="0.35">
      <c r="A202" s="78" t="s">
        <v>1063</v>
      </c>
      <c r="B202" s="107" t="s">
        <v>831</v>
      </c>
      <c r="C202" s="80" t="s">
        <v>1995</v>
      </c>
      <c r="D202" s="80" t="s">
        <v>1064</v>
      </c>
      <c r="E202" s="80" t="s">
        <v>1065</v>
      </c>
      <c r="F202" s="88" t="s">
        <v>21</v>
      </c>
      <c r="G202" s="80" t="s">
        <v>2003</v>
      </c>
      <c r="H202" s="80"/>
      <c r="I202" s="80" t="s">
        <v>2004</v>
      </c>
      <c r="J202" s="80" t="s">
        <v>1851</v>
      </c>
      <c r="K202" s="80" t="s">
        <v>29</v>
      </c>
      <c r="L202" s="82" t="s">
        <v>30</v>
      </c>
      <c r="M202" s="80"/>
      <c r="N202" s="80" t="s">
        <v>21</v>
      </c>
      <c r="O202" s="83"/>
      <c r="P202" s="80"/>
      <c r="Q202" s="80" t="s">
        <v>24</v>
      </c>
      <c r="R202" s="80"/>
    </row>
    <row r="203" spans="1:18" ht="34.5" hidden="1" x14ac:dyDescent="0.35">
      <c r="A203" s="86" t="s">
        <v>1066</v>
      </c>
      <c r="B203" s="107" t="s">
        <v>831</v>
      </c>
      <c r="C203" s="87" t="s">
        <v>1995</v>
      </c>
      <c r="D203" s="87" t="s">
        <v>1067</v>
      </c>
      <c r="E203" s="87" t="s">
        <v>1068</v>
      </c>
      <c r="F203" s="88" t="s">
        <v>21</v>
      </c>
      <c r="G203" s="87" t="s">
        <v>2005</v>
      </c>
      <c r="H203" s="87" t="s">
        <v>2005</v>
      </c>
      <c r="I203" s="87" t="s">
        <v>228</v>
      </c>
      <c r="J203" s="87" t="s">
        <v>1834</v>
      </c>
      <c r="K203" s="87" t="s">
        <v>236</v>
      </c>
      <c r="L203" s="82" t="s">
        <v>30</v>
      </c>
      <c r="M203" s="87"/>
      <c r="N203" s="87" t="s">
        <v>21</v>
      </c>
      <c r="O203" s="90"/>
      <c r="P203" s="87"/>
      <c r="Q203" s="87" t="s">
        <v>24</v>
      </c>
      <c r="R203" s="87"/>
    </row>
    <row r="204" spans="1:18" ht="34.5" hidden="1" x14ac:dyDescent="0.35">
      <c r="A204" s="86" t="s">
        <v>1076</v>
      </c>
      <c r="B204" s="107" t="s">
        <v>831</v>
      </c>
      <c r="C204" s="87" t="s">
        <v>1995</v>
      </c>
      <c r="D204" s="87" t="s">
        <v>1077</v>
      </c>
      <c r="E204" s="87" t="s">
        <v>202</v>
      </c>
      <c r="F204" s="88" t="s">
        <v>21</v>
      </c>
      <c r="G204" s="87" t="s">
        <v>2006</v>
      </c>
      <c r="H204" s="87" t="s">
        <v>2006</v>
      </c>
      <c r="I204" s="87" t="s">
        <v>1947</v>
      </c>
      <c r="J204" s="87" t="s">
        <v>1858</v>
      </c>
      <c r="K204" s="87" t="s">
        <v>155</v>
      </c>
      <c r="L204" s="82" t="s">
        <v>30</v>
      </c>
      <c r="M204" s="87"/>
      <c r="N204" s="87" t="s">
        <v>21</v>
      </c>
      <c r="O204" s="90"/>
      <c r="P204" s="87"/>
      <c r="Q204" s="87" t="s">
        <v>24</v>
      </c>
      <c r="R204" s="87"/>
    </row>
    <row r="205" spans="1:18" ht="34.5" hidden="1" x14ac:dyDescent="0.35">
      <c r="A205" s="78" t="s">
        <v>1078</v>
      </c>
      <c r="B205" s="107" t="s">
        <v>831</v>
      </c>
      <c r="C205" s="80" t="s">
        <v>1995</v>
      </c>
      <c r="D205" s="80" t="s">
        <v>1079</v>
      </c>
      <c r="E205" s="80" t="s">
        <v>1080</v>
      </c>
      <c r="F205" s="88" t="s">
        <v>21</v>
      </c>
      <c r="G205" s="80" t="s">
        <v>2007</v>
      </c>
      <c r="H205" s="80" t="s">
        <v>2008</v>
      </c>
      <c r="I205" s="80" t="s">
        <v>65</v>
      </c>
      <c r="J205" s="80" t="s">
        <v>1874</v>
      </c>
      <c r="K205" s="80" t="s">
        <v>60</v>
      </c>
      <c r="L205" s="94" t="s">
        <v>61</v>
      </c>
      <c r="M205" s="80"/>
      <c r="N205" s="80" t="s">
        <v>21</v>
      </c>
      <c r="O205" s="83"/>
      <c r="P205" s="80"/>
      <c r="Q205" s="80" t="s">
        <v>24</v>
      </c>
      <c r="R205" s="80"/>
    </row>
    <row r="206" spans="1:18" ht="34.5" hidden="1" x14ac:dyDescent="0.35">
      <c r="A206" s="86" t="s">
        <v>1081</v>
      </c>
      <c r="B206" s="107" t="s">
        <v>831</v>
      </c>
      <c r="C206" s="87" t="s">
        <v>1995</v>
      </c>
      <c r="D206" s="87" t="s">
        <v>1082</v>
      </c>
      <c r="E206" s="87" t="s">
        <v>1083</v>
      </c>
      <c r="F206" s="88" t="s">
        <v>21</v>
      </c>
      <c r="G206" s="87" t="s">
        <v>2009</v>
      </c>
      <c r="H206" s="87"/>
      <c r="I206" s="87" t="s">
        <v>2010</v>
      </c>
      <c r="J206" s="87" t="s">
        <v>1858</v>
      </c>
      <c r="K206" s="87"/>
      <c r="L206" s="89" t="s">
        <v>23</v>
      </c>
      <c r="M206" s="87" t="s">
        <v>397</v>
      </c>
      <c r="N206" s="87"/>
      <c r="O206" s="90"/>
      <c r="P206" s="87"/>
      <c r="Q206" s="87" t="s">
        <v>24</v>
      </c>
      <c r="R206" s="87"/>
    </row>
    <row r="207" spans="1:18" ht="34.5" hidden="1" x14ac:dyDescent="0.35">
      <c r="A207" s="78" t="s">
        <v>1084</v>
      </c>
      <c r="B207" s="107" t="s">
        <v>831</v>
      </c>
      <c r="C207" s="80" t="s">
        <v>1995</v>
      </c>
      <c r="D207" s="80" t="s">
        <v>1085</v>
      </c>
      <c r="E207" s="80" t="s">
        <v>1086</v>
      </c>
      <c r="F207" s="88" t="s">
        <v>21</v>
      </c>
      <c r="G207" s="80" t="s">
        <v>2011</v>
      </c>
      <c r="H207" s="80" t="s">
        <v>2011</v>
      </c>
      <c r="I207" s="80" t="s">
        <v>1087</v>
      </c>
      <c r="J207" s="80" t="s">
        <v>1864</v>
      </c>
      <c r="K207" s="80" t="s">
        <v>203</v>
      </c>
      <c r="L207" s="82" t="s">
        <v>30</v>
      </c>
      <c r="M207" s="80"/>
      <c r="N207" s="80" t="s">
        <v>21</v>
      </c>
      <c r="O207" s="83"/>
      <c r="P207" s="80"/>
      <c r="Q207" s="80" t="s">
        <v>24</v>
      </c>
      <c r="R207" s="80"/>
    </row>
    <row r="208" spans="1:18" ht="34.5" hidden="1" x14ac:dyDescent="0.35">
      <c r="A208" s="78" t="s">
        <v>1088</v>
      </c>
      <c r="B208" s="107" t="s">
        <v>831</v>
      </c>
      <c r="C208" s="80" t="s">
        <v>1995</v>
      </c>
      <c r="D208" s="80" t="s">
        <v>1089</v>
      </c>
      <c r="E208" s="80" t="s">
        <v>1090</v>
      </c>
      <c r="F208" s="88" t="s">
        <v>21</v>
      </c>
      <c r="G208" s="80" t="s">
        <v>2012</v>
      </c>
      <c r="H208" s="80" t="s">
        <v>2013</v>
      </c>
      <c r="I208" s="80" t="s">
        <v>1091</v>
      </c>
      <c r="J208" s="80" t="s">
        <v>1874</v>
      </c>
      <c r="K208" s="80" t="s">
        <v>66</v>
      </c>
      <c r="L208" s="82" t="s">
        <v>30</v>
      </c>
      <c r="M208" s="80"/>
      <c r="N208" s="80" t="s">
        <v>21</v>
      </c>
      <c r="O208" s="83"/>
      <c r="P208" s="80"/>
      <c r="Q208" s="80" t="s">
        <v>24</v>
      </c>
      <c r="R208" s="80"/>
    </row>
    <row r="209" spans="1:18" ht="34.5" hidden="1" x14ac:dyDescent="0.35">
      <c r="A209" s="78" t="s">
        <v>1092</v>
      </c>
      <c r="B209" s="107" t="s">
        <v>831</v>
      </c>
      <c r="C209" s="80" t="s">
        <v>1995</v>
      </c>
      <c r="D209" s="80" t="s">
        <v>1093</v>
      </c>
      <c r="E209" s="80" t="s">
        <v>1094</v>
      </c>
      <c r="F209" s="88" t="s">
        <v>21</v>
      </c>
      <c r="G209" s="80" t="s">
        <v>2014</v>
      </c>
      <c r="H209" s="80" t="s">
        <v>2014</v>
      </c>
      <c r="I209" s="80" t="s">
        <v>1095</v>
      </c>
      <c r="J209" s="80" t="s">
        <v>1858</v>
      </c>
      <c r="K209" s="80" t="s">
        <v>269</v>
      </c>
      <c r="L209" s="82" t="s">
        <v>30</v>
      </c>
      <c r="M209" s="80"/>
      <c r="N209" s="80" t="s">
        <v>21</v>
      </c>
      <c r="O209" s="83"/>
      <c r="P209" s="80"/>
      <c r="Q209" s="80" t="s">
        <v>24</v>
      </c>
      <c r="R209" s="80"/>
    </row>
    <row r="210" spans="1:18" ht="34.5" hidden="1" x14ac:dyDescent="0.35">
      <c r="A210" s="86" t="s">
        <v>1096</v>
      </c>
      <c r="B210" s="107" t="s">
        <v>831</v>
      </c>
      <c r="C210" s="87" t="s">
        <v>1995</v>
      </c>
      <c r="D210" s="87" t="s">
        <v>1097</v>
      </c>
      <c r="E210" s="87" t="s">
        <v>1098</v>
      </c>
      <c r="F210" s="88" t="s">
        <v>21</v>
      </c>
      <c r="G210" s="87" t="s">
        <v>2015</v>
      </c>
      <c r="H210" s="87" t="s">
        <v>2015</v>
      </c>
      <c r="I210" s="87" t="s">
        <v>195</v>
      </c>
      <c r="J210" s="87" t="s">
        <v>1864</v>
      </c>
      <c r="K210" s="87" t="s">
        <v>1099</v>
      </c>
      <c r="L210" s="82" t="s">
        <v>30</v>
      </c>
      <c r="M210" s="87"/>
      <c r="N210" s="87" t="s">
        <v>21</v>
      </c>
      <c r="O210" s="90"/>
      <c r="P210" s="87"/>
      <c r="Q210" s="87" t="s">
        <v>24</v>
      </c>
      <c r="R210" s="87"/>
    </row>
    <row r="211" spans="1:18" ht="34.5" hidden="1" x14ac:dyDescent="0.35">
      <c r="A211" s="78" t="s">
        <v>1100</v>
      </c>
      <c r="B211" s="107" t="s">
        <v>831</v>
      </c>
      <c r="C211" s="80" t="s">
        <v>1995</v>
      </c>
      <c r="D211" s="80" t="s">
        <v>1101</v>
      </c>
      <c r="E211" s="80" t="s">
        <v>1102</v>
      </c>
      <c r="F211" s="88" t="s">
        <v>21</v>
      </c>
      <c r="G211" s="80" t="s">
        <v>2016</v>
      </c>
      <c r="H211" s="80" t="s">
        <v>2016</v>
      </c>
      <c r="I211" s="80" t="s">
        <v>1103</v>
      </c>
      <c r="J211" s="80" t="s">
        <v>1854</v>
      </c>
      <c r="K211" s="80" t="s">
        <v>589</v>
      </c>
      <c r="L211" s="82" t="s">
        <v>30</v>
      </c>
      <c r="M211" s="80"/>
      <c r="N211" s="80" t="s">
        <v>21</v>
      </c>
      <c r="O211" s="83"/>
      <c r="P211" s="80"/>
      <c r="Q211" s="80" t="s">
        <v>24</v>
      </c>
      <c r="R211" s="80"/>
    </row>
    <row r="212" spans="1:18" ht="34.5" hidden="1" x14ac:dyDescent="0.35">
      <c r="A212" s="86" t="s">
        <v>1104</v>
      </c>
      <c r="B212" s="107" t="s">
        <v>831</v>
      </c>
      <c r="C212" s="87" t="s">
        <v>1995</v>
      </c>
      <c r="D212" s="87" t="s">
        <v>1105</v>
      </c>
      <c r="E212" s="87" t="s">
        <v>1106</v>
      </c>
      <c r="F212" s="88" t="s">
        <v>21</v>
      </c>
      <c r="G212" s="87" t="s">
        <v>2017</v>
      </c>
      <c r="H212" s="87" t="s">
        <v>2018</v>
      </c>
      <c r="I212" s="87" t="s">
        <v>1091</v>
      </c>
      <c r="J212" s="87" t="s">
        <v>1874</v>
      </c>
      <c r="K212" s="87" t="s">
        <v>66</v>
      </c>
      <c r="L212" s="82" t="s">
        <v>30</v>
      </c>
      <c r="M212" s="87"/>
      <c r="N212" s="87" t="s">
        <v>21</v>
      </c>
      <c r="O212" s="90"/>
      <c r="P212" s="87"/>
      <c r="Q212" s="87" t="s">
        <v>24</v>
      </c>
      <c r="R212" s="87"/>
    </row>
    <row r="213" spans="1:18" ht="34.5" hidden="1" x14ac:dyDescent="0.35">
      <c r="A213" s="86" t="s">
        <v>1107</v>
      </c>
      <c r="B213" s="107" t="s">
        <v>831</v>
      </c>
      <c r="C213" s="87" t="s">
        <v>1995</v>
      </c>
      <c r="D213" s="87" t="s">
        <v>1108</v>
      </c>
      <c r="E213" s="87" t="s">
        <v>1109</v>
      </c>
      <c r="F213" s="88" t="s">
        <v>21</v>
      </c>
      <c r="G213" s="87" t="s">
        <v>2019</v>
      </c>
      <c r="H213" s="87"/>
      <c r="I213" s="87"/>
      <c r="J213" s="87"/>
      <c r="K213" s="87" t="s">
        <v>150</v>
      </c>
      <c r="L213" s="82" t="s">
        <v>30</v>
      </c>
      <c r="M213" s="87"/>
      <c r="N213" s="87" t="s">
        <v>21</v>
      </c>
      <c r="O213" s="90"/>
      <c r="P213" s="87"/>
      <c r="Q213" s="87" t="s">
        <v>24</v>
      </c>
      <c r="R213" s="87"/>
    </row>
    <row r="214" spans="1:18" ht="34.5" hidden="1" x14ac:dyDescent="0.35">
      <c r="A214" s="78" t="s">
        <v>1242</v>
      </c>
      <c r="B214" s="107" t="s">
        <v>831</v>
      </c>
      <c r="C214" s="80" t="s">
        <v>1995</v>
      </c>
      <c r="D214" s="80" t="s">
        <v>1243</v>
      </c>
      <c r="E214" s="80" t="s">
        <v>1244</v>
      </c>
      <c r="F214" s="88" t="s">
        <v>21</v>
      </c>
      <c r="G214" s="80" t="s">
        <v>2020</v>
      </c>
      <c r="H214" s="80" t="s">
        <v>2021</v>
      </c>
      <c r="I214" s="80" t="s">
        <v>163</v>
      </c>
      <c r="J214" s="80" t="s">
        <v>1980</v>
      </c>
      <c r="K214" s="80" t="s">
        <v>164</v>
      </c>
      <c r="L214" s="82" t="s">
        <v>30</v>
      </c>
      <c r="M214" s="80"/>
      <c r="N214" s="80" t="s">
        <v>21</v>
      </c>
      <c r="O214" s="83"/>
      <c r="P214" s="80"/>
      <c r="Q214" s="80" t="s">
        <v>24</v>
      </c>
      <c r="R214" s="80"/>
    </row>
    <row r="215" spans="1:18" ht="34.5" hidden="1" x14ac:dyDescent="0.35">
      <c r="A215" s="78" t="s">
        <v>1130</v>
      </c>
      <c r="B215" s="107" t="s">
        <v>831</v>
      </c>
      <c r="C215" s="80" t="s">
        <v>2022</v>
      </c>
      <c r="D215" s="80" t="s">
        <v>1131</v>
      </c>
      <c r="E215" s="80" t="s">
        <v>1132</v>
      </c>
      <c r="F215" s="88" t="s">
        <v>21</v>
      </c>
      <c r="G215" s="80" t="s">
        <v>2023</v>
      </c>
      <c r="H215" s="80" t="s">
        <v>2024</v>
      </c>
      <c r="I215" s="80" t="s">
        <v>65</v>
      </c>
      <c r="J215" s="80" t="s">
        <v>1874</v>
      </c>
      <c r="K215" s="80" t="s">
        <v>66</v>
      </c>
      <c r="L215" s="82" t="s">
        <v>30</v>
      </c>
      <c r="M215" s="80"/>
      <c r="N215" s="80" t="s">
        <v>21</v>
      </c>
      <c r="O215" s="83"/>
      <c r="P215" s="80"/>
      <c r="Q215" s="80" t="s">
        <v>24</v>
      </c>
      <c r="R215" s="80"/>
    </row>
    <row r="216" spans="1:18" ht="23" hidden="1" x14ac:dyDescent="0.35">
      <c r="A216" s="86" t="s">
        <v>1115</v>
      </c>
      <c r="B216" s="107" t="s">
        <v>831</v>
      </c>
      <c r="C216" s="87" t="s">
        <v>2022</v>
      </c>
      <c r="D216" s="87" t="s">
        <v>1116</v>
      </c>
      <c r="E216" s="87"/>
      <c r="F216" s="101" t="s">
        <v>1912</v>
      </c>
      <c r="G216" s="87" t="s">
        <v>1117</v>
      </c>
      <c r="H216" s="87" t="s">
        <v>1118</v>
      </c>
      <c r="I216" s="87"/>
      <c r="J216" s="87"/>
      <c r="K216" s="87" t="s">
        <v>388</v>
      </c>
      <c r="L216" s="94" t="s">
        <v>61</v>
      </c>
      <c r="M216" s="87" t="s">
        <v>320</v>
      </c>
      <c r="N216" s="87" t="s">
        <v>1119</v>
      </c>
      <c r="O216" s="90"/>
      <c r="P216" s="87"/>
      <c r="Q216" s="87" t="s">
        <v>1120</v>
      </c>
      <c r="R216" s="87"/>
    </row>
    <row r="217" spans="1:18" ht="23" hidden="1" x14ac:dyDescent="0.35">
      <c r="A217" s="86" t="s">
        <v>836</v>
      </c>
      <c r="B217" s="107" t="s">
        <v>831</v>
      </c>
      <c r="C217" s="87" t="s">
        <v>2022</v>
      </c>
      <c r="D217" s="87" t="s">
        <v>837</v>
      </c>
      <c r="E217" s="87"/>
      <c r="F217" s="101" t="s">
        <v>1912</v>
      </c>
      <c r="G217" s="87" t="s">
        <v>838</v>
      </c>
      <c r="H217" s="87" t="s">
        <v>839</v>
      </c>
      <c r="I217" s="87"/>
      <c r="J217" s="87"/>
      <c r="K217" s="87" t="s">
        <v>388</v>
      </c>
      <c r="L217" s="94" t="s">
        <v>61</v>
      </c>
      <c r="M217" s="87" t="s">
        <v>547</v>
      </c>
      <c r="N217" s="87" t="s">
        <v>840</v>
      </c>
      <c r="O217" s="90"/>
      <c r="P217" s="87"/>
      <c r="Q217" s="87" t="s">
        <v>841</v>
      </c>
      <c r="R217" s="87"/>
    </row>
    <row r="218" spans="1:18" ht="34.5" hidden="1" x14ac:dyDescent="0.35">
      <c r="A218" s="78" t="s">
        <v>1148</v>
      </c>
      <c r="B218" s="107" t="s">
        <v>831</v>
      </c>
      <c r="C218" s="80" t="s">
        <v>2022</v>
      </c>
      <c r="D218" s="80" t="s">
        <v>1149</v>
      </c>
      <c r="E218" s="80"/>
      <c r="F218" s="101" t="s">
        <v>1912</v>
      </c>
      <c r="G218" s="80" t="s">
        <v>1150</v>
      </c>
      <c r="H218" s="80" t="s">
        <v>1151</v>
      </c>
      <c r="I218" s="80"/>
      <c r="J218" s="80"/>
      <c r="K218" s="80" t="s">
        <v>1152</v>
      </c>
      <c r="L218" s="92" t="s">
        <v>107</v>
      </c>
      <c r="M218" s="80" t="s">
        <v>1153</v>
      </c>
      <c r="N218" s="80" t="s">
        <v>505</v>
      </c>
      <c r="O218" s="83"/>
      <c r="P218" s="80"/>
      <c r="Q218" s="80" t="s">
        <v>339</v>
      </c>
      <c r="R218" s="80"/>
    </row>
    <row r="219" spans="1:18" ht="23" hidden="1" x14ac:dyDescent="0.35">
      <c r="A219" s="86" t="s">
        <v>1154</v>
      </c>
      <c r="B219" s="107" t="s">
        <v>831</v>
      </c>
      <c r="C219" s="87" t="s">
        <v>2022</v>
      </c>
      <c r="D219" s="87" t="s">
        <v>1155</v>
      </c>
      <c r="E219" s="87"/>
      <c r="F219" s="101" t="s">
        <v>1912</v>
      </c>
      <c r="G219" s="87" t="s">
        <v>1156</v>
      </c>
      <c r="H219" s="87" t="s">
        <v>1157</v>
      </c>
      <c r="I219" s="87"/>
      <c r="J219" s="87"/>
      <c r="K219" s="87" t="s">
        <v>302</v>
      </c>
      <c r="L219" s="102" t="s">
        <v>280</v>
      </c>
      <c r="M219" s="87" t="s">
        <v>848</v>
      </c>
      <c r="N219" s="87" t="s">
        <v>290</v>
      </c>
      <c r="O219" s="90"/>
      <c r="P219" s="87"/>
      <c r="Q219" s="87" t="s">
        <v>339</v>
      </c>
      <c r="R219" s="87"/>
    </row>
    <row r="220" spans="1:18" ht="23" hidden="1" x14ac:dyDescent="0.35">
      <c r="A220" s="78" t="s">
        <v>1003</v>
      </c>
      <c r="B220" s="107" t="s">
        <v>831</v>
      </c>
      <c r="C220" s="80" t="s">
        <v>2022</v>
      </c>
      <c r="D220" s="80" t="s">
        <v>1004</v>
      </c>
      <c r="E220" s="80"/>
      <c r="F220" s="101" t="s">
        <v>1912</v>
      </c>
      <c r="G220" s="80" t="s">
        <v>1005</v>
      </c>
      <c r="H220" s="80" t="s">
        <v>1006</v>
      </c>
      <c r="I220" s="80"/>
      <c r="J220" s="80"/>
      <c r="K220" s="80" t="s">
        <v>832</v>
      </c>
      <c r="L220" s="89" t="s">
        <v>833</v>
      </c>
      <c r="M220" s="80" t="s">
        <v>853</v>
      </c>
      <c r="N220" s="80" t="s">
        <v>290</v>
      </c>
      <c r="O220" s="83"/>
      <c r="P220" s="80"/>
      <c r="Q220" s="80" t="s">
        <v>339</v>
      </c>
      <c r="R220" s="80"/>
    </row>
    <row r="221" spans="1:18" ht="23" hidden="1" x14ac:dyDescent="0.35">
      <c r="A221" s="86" t="s">
        <v>1007</v>
      </c>
      <c r="B221" s="107" t="s">
        <v>831</v>
      </c>
      <c r="C221" s="87" t="s">
        <v>2022</v>
      </c>
      <c r="D221" s="87" t="s">
        <v>1008</v>
      </c>
      <c r="E221" s="87"/>
      <c r="F221" s="101" t="s">
        <v>1912</v>
      </c>
      <c r="G221" s="87" t="s">
        <v>1009</v>
      </c>
      <c r="H221" s="87" t="s">
        <v>1010</v>
      </c>
      <c r="I221" s="87"/>
      <c r="J221" s="87"/>
      <c r="K221" s="87" t="s">
        <v>302</v>
      </c>
      <c r="L221" s="102" t="s">
        <v>280</v>
      </c>
      <c r="M221" s="87" t="s">
        <v>416</v>
      </c>
      <c r="N221" s="87" t="s">
        <v>290</v>
      </c>
      <c r="O221" s="90"/>
      <c r="P221" s="87"/>
      <c r="Q221" s="87" t="s">
        <v>339</v>
      </c>
      <c r="R221" s="87"/>
    </row>
    <row r="222" spans="1:18" ht="23" hidden="1" x14ac:dyDescent="0.35">
      <c r="A222" s="78" t="s">
        <v>1177</v>
      </c>
      <c r="B222" s="107" t="s">
        <v>831</v>
      </c>
      <c r="C222" s="80" t="s">
        <v>2022</v>
      </c>
      <c r="D222" s="80" t="s">
        <v>1178</v>
      </c>
      <c r="E222" s="80" t="s">
        <v>1179</v>
      </c>
      <c r="F222" s="88" t="s">
        <v>21</v>
      </c>
      <c r="G222" s="80" t="s">
        <v>2025</v>
      </c>
      <c r="H222" s="80" t="s">
        <v>2025</v>
      </c>
      <c r="I222" s="80" t="s">
        <v>2026</v>
      </c>
      <c r="J222" s="80" t="s">
        <v>1848</v>
      </c>
      <c r="K222" s="80" t="s">
        <v>232</v>
      </c>
      <c r="L222" s="82" t="s">
        <v>30</v>
      </c>
      <c r="M222" s="80"/>
      <c r="N222" s="80" t="s">
        <v>21</v>
      </c>
      <c r="O222" s="83"/>
      <c r="P222" s="80"/>
      <c r="Q222" s="80" t="s">
        <v>24</v>
      </c>
      <c r="R222" s="80"/>
    </row>
    <row r="223" spans="1:18" ht="23" hidden="1" x14ac:dyDescent="0.35">
      <c r="A223" s="86" t="s">
        <v>1017</v>
      </c>
      <c r="B223" s="107" t="s">
        <v>831</v>
      </c>
      <c r="C223" s="87" t="s">
        <v>2022</v>
      </c>
      <c r="D223" s="87" t="s">
        <v>1018</v>
      </c>
      <c r="E223" s="87"/>
      <c r="F223" s="109" t="s">
        <v>1019</v>
      </c>
      <c r="G223" s="87" t="s">
        <v>1020</v>
      </c>
      <c r="H223" s="87"/>
      <c r="I223" s="87" t="s">
        <v>2027</v>
      </c>
      <c r="J223" s="87" t="s">
        <v>1835</v>
      </c>
      <c r="K223" s="87" t="s">
        <v>78</v>
      </c>
      <c r="L223" s="85" t="s">
        <v>79</v>
      </c>
      <c r="M223" s="87" t="s">
        <v>397</v>
      </c>
      <c r="N223" s="87" t="s">
        <v>1019</v>
      </c>
      <c r="O223" s="100" t="s">
        <v>2028</v>
      </c>
      <c r="P223" s="87" t="s">
        <v>108</v>
      </c>
      <c r="Q223" s="87" t="s">
        <v>39</v>
      </c>
      <c r="R223" s="87" t="s">
        <v>468</v>
      </c>
    </row>
    <row r="224" spans="1:18" ht="23" hidden="1" x14ac:dyDescent="0.35">
      <c r="A224" s="78" t="s">
        <v>1189</v>
      </c>
      <c r="B224" s="107" t="s">
        <v>831</v>
      </c>
      <c r="C224" s="80" t="s">
        <v>2022</v>
      </c>
      <c r="D224" s="80" t="s">
        <v>1190</v>
      </c>
      <c r="E224" s="80"/>
      <c r="F224" s="109" t="s">
        <v>1019</v>
      </c>
      <c r="G224" s="80" t="s">
        <v>1191</v>
      </c>
      <c r="H224" s="80"/>
      <c r="I224" s="80" t="s">
        <v>1192</v>
      </c>
      <c r="J224" s="80" t="s">
        <v>1835</v>
      </c>
      <c r="K224" s="80" t="s">
        <v>106</v>
      </c>
      <c r="L224" s="92" t="s">
        <v>107</v>
      </c>
      <c r="M224" s="80" t="s">
        <v>397</v>
      </c>
      <c r="N224" s="80" t="s">
        <v>1019</v>
      </c>
      <c r="O224" s="83" t="s">
        <v>1829</v>
      </c>
      <c r="P224" s="80" t="s">
        <v>108</v>
      </c>
      <c r="Q224" s="80" t="s">
        <v>39</v>
      </c>
      <c r="R224" s="80" t="s">
        <v>109</v>
      </c>
    </row>
    <row r="225" spans="1:18" ht="23" hidden="1" x14ac:dyDescent="0.35">
      <c r="A225" s="86" t="s">
        <v>1021</v>
      </c>
      <c r="B225" s="107" t="s">
        <v>831</v>
      </c>
      <c r="C225" s="87" t="s">
        <v>2022</v>
      </c>
      <c r="D225" s="87" t="s">
        <v>1022</v>
      </c>
      <c r="E225" s="87"/>
      <c r="F225" s="96" t="s">
        <v>93</v>
      </c>
      <c r="G225" s="87" t="s">
        <v>1023</v>
      </c>
      <c r="H225" s="87"/>
      <c r="I225" s="87"/>
      <c r="J225" s="87"/>
      <c r="K225" s="87" t="s">
        <v>596</v>
      </c>
      <c r="L225" s="104" t="s">
        <v>597</v>
      </c>
      <c r="M225" s="87" t="s">
        <v>397</v>
      </c>
      <c r="N225" s="87"/>
      <c r="O225" s="90"/>
      <c r="P225" s="87"/>
      <c r="Q225" s="87" t="s">
        <v>95</v>
      </c>
      <c r="R225" s="87" t="s">
        <v>1024</v>
      </c>
    </row>
    <row r="226" spans="1:18" ht="23" hidden="1" x14ac:dyDescent="0.35">
      <c r="A226" s="86" t="s">
        <v>1193</v>
      </c>
      <c r="B226" s="107" t="s">
        <v>831</v>
      </c>
      <c r="C226" s="87" t="s">
        <v>2022</v>
      </c>
      <c r="D226" s="87" t="s">
        <v>1194</v>
      </c>
      <c r="E226" s="87"/>
      <c r="F226" s="110" t="s">
        <v>874</v>
      </c>
      <c r="G226" s="87" t="s">
        <v>1195</v>
      </c>
      <c r="H226" s="87"/>
      <c r="I226" s="87" t="s">
        <v>2029</v>
      </c>
      <c r="J226" s="87" t="s">
        <v>1854</v>
      </c>
      <c r="K226" s="87" t="s">
        <v>37</v>
      </c>
      <c r="L226" s="82" t="s">
        <v>30</v>
      </c>
      <c r="M226" s="87" t="s">
        <v>397</v>
      </c>
      <c r="N226" s="87" t="s">
        <v>874</v>
      </c>
      <c r="O226" s="100" t="s">
        <v>2030</v>
      </c>
      <c r="P226" s="87" t="s">
        <v>1196</v>
      </c>
      <c r="Q226" s="87" t="s">
        <v>39</v>
      </c>
      <c r="R226" s="87" t="s">
        <v>1197</v>
      </c>
    </row>
    <row r="227" spans="1:18" ht="23" hidden="1" x14ac:dyDescent="0.35">
      <c r="A227" s="86" t="s">
        <v>1204</v>
      </c>
      <c r="B227" s="107" t="s">
        <v>831</v>
      </c>
      <c r="C227" s="87" t="s">
        <v>2022</v>
      </c>
      <c r="D227" s="87" t="s">
        <v>1205</v>
      </c>
      <c r="E227" s="87"/>
      <c r="F227" s="101" t="s">
        <v>1912</v>
      </c>
      <c r="G227" s="87" t="s">
        <v>1206</v>
      </c>
      <c r="H227" s="87" t="s">
        <v>1207</v>
      </c>
      <c r="I227" s="87"/>
      <c r="J227" s="87"/>
      <c r="K227" s="87" t="s">
        <v>388</v>
      </c>
      <c r="L227" s="94" t="s">
        <v>61</v>
      </c>
      <c r="M227" s="87" t="s">
        <v>1202</v>
      </c>
      <c r="N227" s="87" t="s">
        <v>1208</v>
      </c>
      <c r="O227" s="90"/>
      <c r="P227" s="87"/>
      <c r="Q227" s="87" t="s">
        <v>760</v>
      </c>
      <c r="R227" s="87"/>
    </row>
    <row r="228" spans="1:18" ht="23" hidden="1" x14ac:dyDescent="0.35">
      <c r="A228" s="86" t="s">
        <v>1209</v>
      </c>
      <c r="B228" s="107" t="s">
        <v>831</v>
      </c>
      <c r="C228" s="87" t="s">
        <v>2022</v>
      </c>
      <c r="D228" s="87" t="s">
        <v>1210</v>
      </c>
      <c r="E228" s="87"/>
      <c r="F228" s="101" t="s">
        <v>1912</v>
      </c>
      <c r="G228" s="87" t="s">
        <v>1211</v>
      </c>
      <c r="H228" s="87" t="s">
        <v>1212</v>
      </c>
      <c r="I228" s="87"/>
      <c r="J228" s="87"/>
      <c r="K228" s="87" t="s">
        <v>388</v>
      </c>
      <c r="L228" s="94" t="s">
        <v>61</v>
      </c>
      <c r="M228" s="87" t="s">
        <v>528</v>
      </c>
      <c r="N228" s="87" t="s">
        <v>1213</v>
      </c>
      <c r="O228" s="90"/>
      <c r="P228" s="87"/>
      <c r="Q228" s="87" t="s">
        <v>760</v>
      </c>
      <c r="R228" s="87"/>
    </row>
    <row r="229" spans="1:18" ht="23" hidden="1" x14ac:dyDescent="0.35">
      <c r="A229" s="86" t="s">
        <v>1223</v>
      </c>
      <c r="B229" s="107" t="s">
        <v>831</v>
      </c>
      <c r="C229" s="87" t="s">
        <v>2022</v>
      </c>
      <c r="D229" s="87" t="s">
        <v>1224</v>
      </c>
      <c r="E229" s="87"/>
      <c r="F229" s="110" t="s">
        <v>874</v>
      </c>
      <c r="G229" s="87" t="s">
        <v>1225</v>
      </c>
      <c r="H229" s="87"/>
      <c r="I229" s="87" t="s">
        <v>424</v>
      </c>
      <c r="J229" s="87" t="s">
        <v>1851</v>
      </c>
      <c r="K229" s="87" t="s">
        <v>78</v>
      </c>
      <c r="L229" s="85" t="s">
        <v>79</v>
      </c>
      <c r="M229" s="87" t="s">
        <v>397</v>
      </c>
      <c r="N229" s="87" t="s">
        <v>874</v>
      </c>
      <c r="O229" s="100" t="s">
        <v>2030</v>
      </c>
      <c r="P229" s="87" t="s">
        <v>1001</v>
      </c>
      <c r="Q229" s="87" t="s">
        <v>39</v>
      </c>
      <c r="R229" s="87" t="s">
        <v>1226</v>
      </c>
    </row>
    <row r="230" spans="1:18" ht="23" hidden="1" x14ac:dyDescent="0.35">
      <c r="A230" s="78" t="s">
        <v>1263</v>
      </c>
      <c r="B230" s="107" t="s">
        <v>831</v>
      </c>
      <c r="C230" s="80" t="s">
        <v>2022</v>
      </c>
      <c r="D230" s="80" t="s">
        <v>1264</v>
      </c>
      <c r="E230" s="80"/>
      <c r="F230" s="101" t="s">
        <v>1912</v>
      </c>
      <c r="G230" s="80" t="s">
        <v>1265</v>
      </c>
      <c r="H230" s="80" t="s">
        <v>1266</v>
      </c>
      <c r="I230" s="80"/>
      <c r="J230" s="80"/>
      <c r="K230" s="80" t="s">
        <v>388</v>
      </c>
      <c r="L230" s="94" t="s">
        <v>61</v>
      </c>
      <c r="M230" s="80" t="s">
        <v>1267</v>
      </c>
      <c r="N230" s="80" t="s">
        <v>840</v>
      </c>
      <c r="O230" s="83"/>
      <c r="P230" s="80"/>
      <c r="Q230" s="80" t="s">
        <v>658</v>
      </c>
      <c r="R230" s="80"/>
    </row>
    <row r="231" spans="1:18" ht="23" hidden="1" x14ac:dyDescent="0.35">
      <c r="A231" s="86" t="s">
        <v>1268</v>
      </c>
      <c r="B231" s="107" t="s">
        <v>831</v>
      </c>
      <c r="C231" s="87" t="s">
        <v>2022</v>
      </c>
      <c r="D231" s="87" t="s">
        <v>1269</v>
      </c>
      <c r="E231" s="87"/>
      <c r="F231" s="101" t="s">
        <v>1912</v>
      </c>
      <c r="G231" s="87" t="s">
        <v>1270</v>
      </c>
      <c r="H231" s="87" t="s">
        <v>1271</v>
      </c>
      <c r="I231" s="87"/>
      <c r="J231" s="87"/>
      <c r="K231" s="87" t="s">
        <v>388</v>
      </c>
      <c r="L231" s="94" t="s">
        <v>61</v>
      </c>
      <c r="M231" s="87" t="s">
        <v>1272</v>
      </c>
      <c r="N231" s="87" t="s">
        <v>1273</v>
      </c>
      <c r="O231" s="90"/>
      <c r="P231" s="87"/>
      <c r="Q231" s="87" t="s">
        <v>760</v>
      </c>
      <c r="R231" s="87"/>
    </row>
    <row r="232" spans="1:18" ht="23" hidden="1" x14ac:dyDescent="0.35">
      <c r="A232" s="86" t="s">
        <v>1136</v>
      </c>
      <c r="B232" s="107" t="s">
        <v>831</v>
      </c>
      <c r="C232" s="87" t="s">
        <v>2031</v>
      </c>
      <c r="D232" s="87" t="s">
        <v>1137</v>
      </c>
      <c r="E232" s="87"/>
      <c r="F232" s="105" t="s">
        <v>413</v>
      </c>
      <c r="G232" s="87" t="s">
        <v>2032</v>
      </c>
      <c r="H232" s="87"/>
      <c r="I232" s="87" t="s">
        <v>2033</v>
      </c>
      <c r="J232" s="87" t="s">
        <v>1831</v>
      </c>
      <c r="K232" s="87" t="s">
        <v>78</v>
      </c>
      <c r="L232" s="85" t="s">
        <v>79</v>
      </c>
      <c r="M232" s="87" t="s">
        <v>397</v>
      </c>
      <c r="N232" s="87" t="s">
        <v>413</v>
      </c>
      <c r="O232" s="90" t="s">
        <v>1829</v>
      </c>
      <c r="P232" s="87" t="s">
        <v>414</v>
      </c>
      <c r="Q232" s="87" t="s">
        <v>39</v>
      </c>
      <c r="R232" s="87" t="s">
        <v>472</v>
      </c>
    </row>
    <row r="233" spans="1:18" ht="23" hidden="1" x14ac:dyDescent="0.35">
      <c r="A233" s="86" t="s">
        <v>844</v>
      </c>
      <c r="B233" s="107" t="s">
        <v>831</v>
      </c>
      <c r="C233" s="87" t="s">
        <v>2031</v>
      </c>
      <c r="D233" s="87" t="s">
        <v>845</v>
      </c>
      <c r="E233" s="87"/>
      <c r="F233" s="101" t="s">
        <v>1912</v>
      </c>
      <c r="G233" s="87" t="s">
        <v>846</v>
      </c>
      <c r="H233" s="87" t="s">
        <v>847</v>
      </c>
      <c r="I233" s="87"/>
      <c r="J233" s="87"/>
      <c r="K233" s="87" t="s">
        <v>388</v>
      </c>
      <c r="L233" s="94" t="s">
        <v>61</v>
      </c>
      <c r="M233" s="87" t="s">
        <v>848</v>
      </c>
      <c r="N233" s="87" t="s">
        <v>840</v>
      </c>
      <c r="O233" s="90"/>
      <c r="P233" s="87"/>
      <c r="Q233" s="87" t="s">
        <v>841</v>
      </c>
      <c r="R233" s="87"/>
    </row>
    <row r="234" spans="1:18" ht="23" hidden="1" x14ac:dyDescent="0.35">
      <c r="A234" s="78" t="s">
        <v>849</v>
      </c>
      <c r="B234" s="107" t="s">
        <v>831</v>
      </c>
      <c r="C234" s="80" t="s">
        <v>2031</v>
      </c>
      <c r="D234" s="80" t="s">
        <v>850</v>
      </c>
      <c r="E234" s="80"/>
      <c r="F234" s="101" t="s">
        <v>1912</v>
      </c>
      <c r="G234" s="80" t="s">
        <v>851</v>
      </c>
      <c r="H234" s="80" t="s">
        <v>852</v>
      </c>
      <c r="I234" s="80"/>
      <c r="J234" s="80"/>
      <c r="K234" s="80" t="s">
        <v>388</v>
      </c>
      <c r="L234" s="94" t="s">
        <v>61</v>
      </c>
      <c r="M234" s="80" t="s">
        <v>853</v>
      </c>
      <c r="N234" s="80" t="s">
        <v>840</v>
      </c>
      <c r="O234" s="83"/>
      <c r="P234" s="80"/>
      <c r="Q234" s="80" t="s">
        <v>841</v>
      </c>
      <c r="R234" s="80"/>
    </row>
    <row r="235" spans="1:18" ht="23" hidden="1" x14ac:dyDescent="0.35">
      <c r="A235" s="86" t="s">
        <v>854</v>
      </c>
      <c r="B235" s="107" t="s">
        <v>831</v>
      </c>
      <c r="C235" s="87" t="s">
        <v>2031</v>
      </c>
      <c r="D235" s="87" t="s">
        <v>855</v>
      </c>
      <c r="E235" s="87"/>
      <c r="F235" s="101" t="s">
        <v>1912</v>
      </c>
      <c r="G235" s="87" t="s">
        <v>856</v>
      </c>
      <c r="H235" s="87" t="s">
        <v>857</v>
      </c>
      <c r="I235" s="87"/>
      <c r="J235" s="87"/>
      <c r="K235" s="87" t="s">
        <v>388</v>
      </c>
      <c r="L235" s="94" t="s">
        <v>61</v>
      </c>
      <c r="M235" s="87" t="s">
        <v>858</v>
      </c>
      <c r="N235" s="87" t="s">
        <v>840</v>
      </c>
      <c r="O235" s="90"/>
      <c r="P235" s="87"/>
      <c r="Q235" s="87" t="s">
        <v>841</v>
      </c>
      <c r="R235" s="87"/>
    </row>
    <row r="236" spans="1:18" ht="34.5" hidden="1" x14ac:dyDescent="0.35">
      <c r="A236" s="86" t="s">
        <v>1219</v>
      </c>
      <c r="B236" s="107" t="s">
        <v>831</v>
      </c>
      <c r="C236" s="87" t="s">
        <v>2031</v>
      </c>
      <c r="D236" s="87" t="s">
        <v>1220</v>
      </c>
      <c r="E236" s="87"/>
      <c r="F236" s="101" t="s">
        <v>1912</v>
      </c>
      <c r="G236" s="87" t="s">
        <v>1221</v>
      </c>
      <c r="H236" s="87" t="s">
        <v>1222</v>
      </c>
      <c r="I236" s="87"/>
      <c r="J236" s="87"/>
      <c r="K236" s="87" t="s">
        <v>388</v>
      </c>
      <c r="L236" s="94" t="s">
        <v>61</v>
      </c>
      <c r="M236" s="87" t="s">
        <v>528</v>
      </c>
      <c r="N236" s="87" t="s">
        <v>840</v>
      </c>
      <c r="O236" s="90"/>
      <c r="P236" s="87"/>
      <c r="Q236" s="87" t="s">
        <v>841</v>
      </c>
      <c r="R236" s="87"/>
    </row>
    <row r="237" spans="1:18" ht="34.5" hidden="1" x14ac:dyDescent="0.35">
      <c r="A237" s="78" t="s">
        <v>1138</v>
      </c>
      <c r="B237" s="107" t="s">
        <v>831</v>
      </c>
      <c r="C237" s="80" t="s">
        <v>2034</v>
      </c>
      <c r="D237" s="80" t="s">
        <v>1139</v>
      </c>
      <c r="E237" s="80" t="s">
        <v>1140</v>
      </c>
      <c r="F237" s="88" t="s">
        <v>21</v>
      </c>
      <c r="G237" s="80" t="s">
        <v>2035</v>
      </c>
      <c r="H237" s="80"/>
      <c r="I237" s="80" t="s">
        <v>1959</v>
      </c>
      <c r="J237" s="80" t="s">
        <v>1834</v>
      </c>
      <c r="K237" s="80"/>
      <c r="L237" s="89" t="s">
        <v>23</v>
      </c>
      <c r="M237" s="80" t="s">
        <v>397</v>
      </c>
      <c r="N237" s="80" t="s">
        <v>21</v>
      </c>
      <c r="O237" s="83"/>
      <c r="P237" s="80"/>
      <c r="Q237" s="80" t="s">
        <v>24</v>
      </c>
      <c r="R237" s="80"/>
    </row>
    <row r="238" spans="1:18" ht="23" hidden="1" x14ac:dyDescent="0.35">
      <c r="A238" s="86" t="s">
        <v>1069</v>
      </c>
      <c r="B238" s="107" t="s">
        <v>831</v>
      </c>
      <c r="C238" s="87" t="s">
        <v>2034</v>
      </c>
      <c r="D238" s="87" t="s">
        <v>1070</v>
      </c>
      <c r="E238" s="87" t="s">
        <v>1071</v>
      </c>
      <c r="F238" s="88" t="s">
        <v>21</v>
      </c>
      <c r="G238" s="87" t="s">
        <v>2036</v>
      </c>
      <c r="H238" s="87"/>
      <c r="I238" s="87" t="s">
        <v>2037</v>
      </c>
      <c r="J238" s="87" t="s">
        <v>1834</v>
      </c>
      <c r="K238" s="87"/>
      <c r="L238" s="89" t="s">
        <v>23</v>
      </c>
      <c r="M238" s="87" t="s">
        <v>397</v>
      </c>
      <c r="N238" s="87" t="s">
        <v>21</v>
      </c>
      <c r="O238" s="90"/>
      <c r="P238" s="87"/>
      <c r="Q238" s="87" t="s">
        <v>24</v>
      </c>
      <c r="R238" s="87"/>
    </row>
    <row r="239" spans="1:18" ht="23" hidden="1" x14ac:dyDescent="0.35">
      <c r="A239" s="78" t="s">
        <v>1072</v>
      </c>
      <c r="B239" s="107" t="s">
        <v>831</v>
      </c>
      <c r="C239" s="80" t="s">
        <v>2034</v>
      </c>
      <c r="D239" s="80" t="s">
        <v>1073</v>
      </c>
      <c r="E239" s="80" t="s">
        <v>1074</v>
      </c>
      <c r="F239" s="88" t="s">
        <v>21</v>
      </c>
      <c r="G239" s="80" t="s">
        <v>2038</v>
      </c>
      <c r="H239" s="80"/>
      <c r="I239" s="80" t="s">
        <v>1075</v>
      </c>
      <c r="J239" s="80" t="s">
        <v>1848</v>
      </c>
      <c r="K239" s="80"/>
      <c r="L239" s="89" t="s">
        <v>23</v>
      </c>
      <c r="M239" s="80" t="s">
        <v>397</v>
      </c>
      <c r="N239" s="80" t="s">
        <v>21</v>
      </c>
      <c r="O239" s="83"/>
      <c r="P239" s="80"/>
      <c r="Q239" s="80" t="s">
        <v>24</v>
      </c>
      <c r="R239" s="80"/>
    </row>
    <row r="240" spans="1:18" ht="34.5" hidden="1" x14ac:dyDescent="0.35">
      <c r="A240" s="86" t="s">
        <v>1141</v>
      </c>
      <c r="B240" s="107" t="s">
        <v>831</v>
      </c>
      <c r="C240" s="87" t="s">
        <v>2034</v>
      </c>
      <c r="D240" s="87" t="s">
        <v>1142</v>
      </c>
      <c r="E240" s="87" t="s">
        <v>1143</v>
      </c>
      <c r="F240" s="88" t="s">
        <v>21</v>
      </c>
      <c r="G240" s="87" t="s">
        <v>2039</v>
      </c>
      <c r="H240" s="87"/>
      <c r="I240" s="87" t="s">
        <v>1144</v>
      </c>
      <c r="J240" s="87" t="s">
        <v>1851</v>
      </c>
      <c r="K240" s="87" t="s">
        <v>739</v>
      </c>
      <c r="L240" s="82" t="s">
        <v>30</v>
      </c>
      <c r="M240" s="87"/>
      <c r="N240" s="87" t="s">
        <v>21</v>
      </c>
      <c r="O240" s="90"/>
      <c r="P240" s="87"/>
      <c r="Q240" s="87" t="s">
        <v>24</v>
      </c>
      <c r="R240" s="87"/>
    </row>
    <row r="241" spans="1:18" ht="23" hidden="1" x14ac:dyDescent="0.35">
      <c r="A241" s="78" t="s">
        <v>842</v>
      </c>
      <c r="B241" s="107" t="s">
        <v>831</v>
      </c>
      <c r="C241" s="80" t="s">
        <v>2034</v>
      </c>
      <c r="D241" s="80" t="s">
        <v>843</v>
      </c>
      <c r="E241" s="80" t="s">
        <v>239</v>
      </c>
      <c r="F241" s="88" t="s">
        <v>21</v>
      </c>
      <c r="G241" s="80" t="s">
        <v>2040</v>
      </c>
      <c r="H241" s="80"/>
      <c r="I241" s="80" t="s">
        <v>2041</v>
      </c>
      <c r="J241" s="80" t="s">
        <v>1864</v>
      </c>
      <c r="K241" s="80"/>
      <c r="L241" s="89" t="s">
        <v>23</v>
      </c>
      <c r="M241" s="80" t="s">
        <v>397</v>
      </c>
      <c r="N241" s="80" t="s">
        <v>21</v>
      </c>
      <c r="O241" s="83"/>
      <c r="P241" s="80"/>
      <c r="Q241" s="80" t="s">
        <v>24</v>
      </c>
      <c r="R241" s="80"/>
    </row>
    <row r="242" spans="1:18" ht="34.5" hidden="1" x14ac:dyDescent="0.35">
      <c r="A242" s="78" t="s">
        <v>1145</v>
      </c>
      <c r="B242" s="107" t="s">
        <v>831</v>
      </c>
      <c r="C242" s="80" t="s">
        <v>2034</v>
      </c>
      <c r="D242" s="80" t="s">
        <v>1146</v>
      </c>
      <c r="E242" s="80" t="s">
        <v>1147</v>
      </c>
      <c r="F242" s="88" t="s">
        <v>21</v>
      </c>
      <c r="G242" s="80" t="s">
        <v>2042</v>
      </c>
      <c r="H242" s="80" t="s">
        <v>2042</v>
      </c>
      <c r="I242" s="80" t="s">
        <v>1947</v>
      </c>
      <c r="J242" s="80" t="s">
        <v>1858</v>
      </c>
      <c r="K242" s="80" t="s">
        <v>155</v>
      </c>
      <c r="L242" s="82" t="s">
        <v>30</v>
      </c>
      <c r="M242" s="80"/>
      <c r="N242" s="80" t="s">
        <v>21</v>
      </c>
      <c r="O242" s="83"/>
      <c r="P242" s="80"/>
      <c r="Q242" s="80" t="s">
        <v>24</v>
      </c>
      <c r="R242" s="80"/>
    </row>
    <row r="243" spans="1:18" ht="23" hidden="1" x14ac:dyDescent="0.35">
      <c r="A243" s="86" t="s">
        <v>987</v>
      </c>
      <c r="B243" s="107" t="s">
        <v>831</v>
      </c>
      <c r="C243" s="87" t="s">
        <v>2034</v>
      </c>
      <c r="D243" s="87" t="s">
        <v>988</v>
      </c>
      <c r="E243" s="87"/>
      <c r="F243" s="96" t="s">
        <v>93</v>
      </c>
      <c r="G243" s="87" t="s">
        <v>2043</v>
      </c>
      <c r="H243" s="87"/>
      <c r="I243" s="87"/>
      <c r="J243" s="87"/>
      <c r="K243" s="87" t="s">
        <v>596</v>
      </c>
      <c r="L243" s="104" t="s">
        <v>597</v>
      </c>
      <c r="M243" s="87" t="s">
        <v>94</v>
      </c>
      <c r="N243" s="87"/>
      <c r="O243" s="90"/>
      <c r="P243" s="87"/>
      <c r="Q243" s="87" t="s">
        <v>95</v>
      </c>
      <c r="R243" s="87" t="s">
        <v>989</v>
      </c>
    </row>
    <row r="244" spans="1:18" ht="23" hidden="1" x14ac:dyDescent="0.35">
      <c r="A244" s="86" t="s">
        <v>998</v>
      </c>
      <c r="B244" s="107" t="s">
        <v>831</v>
      </c>
      <c r="C244" s="87" t="s">
        <v>2034</v>
      </c>
      <c r="D244" s="87" t="s">
        <v>999</v>
      </c>
      <c r="E244" s="87"/>
      <c r="F244" s="110" t="s">
        <v>874</v>
      </c>
      <c r="G244" s="87" t="s">
        <v>1000</v>
      </c>
      <c r="H244" s="87"/>
      <c r="I244" s="87" t="s">
        <v>424</v>
      </c>
      <c r="J244" s="87" t="s">
        <v>1851</v>
      </c>
      <c r="K244" s="87" t="s">
        <v>37</v>
      </c>
      <c r="L244" s="82" t="s">
        <v>30</v>
      </c>
      <c r="M244" s="87" t="s">
        <v>397</v>
      </c>
      <c r="N244" s="87" t="s">
        <v>874</v>
      </c>
      <c r="O244" s="100" t="s">
        <v>2030</v>
      </c>
      <c r="P244" s="87" t="s">
        <v>1001</v>
      </c>
      <c r="Q244" s="87" t="s">
        <v>39</v>
      </c>
      <c r="R244" s="87" t="s">
        <v>1002</v>
      </c>
    </row>
    <row r="245" spans="1:18" ht="46" hidden="1" x14ac:dyDescent="0.35">
      <c r="A245" s="86" t="s">
        <v>1173</v>
      </c>
      <c r="B245" s="107" t="s">
        <v>831</v>
      </c>
      <c r="C245" s="87" t="s">
        <v>2034</v>
      </c>
      <c r="D245" s="87" t="s">
        <v>1174</v>
      </c>
      <c r="E245" s="87" t="s">
        <v>1175</v>
      </c>
      <c r="F245" s="88" t="s">
        <v>21</v>
      </c>
      <c r="G245" s="87" t="s">
        <v>2044</v>
      </c>
      <c r="H245" s="87"/>
      <c r="I245" s="87" t="s">
        <v>1176</v>
      </c>
      <c r="J245" s="87" t="s">
        <v>1834</v>
      </c>
      <c r="K245" s="87"/>
      <c r="L245" s="89" t="s">
        <v>23</v>
      </c>
      <c r="M245" s="87" t="s">
        <v>397</v>
      </c>
      <c r="N245" s="87" t="s">
        <v>21</v>
      </c>
      <c r="O245" s="90"/>
      <c r="P245" s="87"/>
      <c r="Q245" s="87" t="s">
        <v>24</v>
      </c>
      <c r="R245" s="87"/>
    </row>
    <row r="246" spans="1:18" ht="34.5" hidden="1" x14ac:dyDescent="0.35">
      <c r="A246" s="78" t="s">
        <v>1110</v>
      </c>
      <c r="B246" s="107" t="s">
        <v>831</v>
      </c>
      <c r="C246" s="80" t="s">
        <v>2034</v>
      </c>
      <c r="D246" s="80" t="s">
        <v>1111</v>
      </c>
      <c r="E246" s="80" t="s">
        <v>1112</v>
      </c>
      <c r="F246" s="88" t="s">
        <v>21</v>
      </c>
      <c r="G246" s="80" t="s">
        <v>2045</v>
      </c>
      <c r="H246" s="80" t="s">
        <v>2046</v>
      </c>
      <c r="I246" s="80" t="s">
        <v>1113</v>
      </c>
      <c r="J246" s="80" t="s">
        <v>2047</v>
      </c>
      <c r="K246" s="80" t="s">
        <v>1114</v>
      </c>
      <c r="L246" s="94" t="s">
        <v>61</v>
      </c>
      <c r="M246" s="80"/>
      <c r="N246" s="80" t="s">
        <v>21</v>
      </c>
      <c r="O246" s="83"/>
      <c r="P246" s="80"/>
      <c r="Q246" s="80" t="s">
        <v>24</v>
      </c>
      <c r="R246" s="80"/>
    </row>
    <row r="247" spans="1:18" ht="23" hidden="1" x14ac:dyDescent="0.35">
      <c r="A247" s="86" t="s">
        <v>1180</v>
      </c>
      <c r="B247" s="107" t="s">
        <v>831</v>
      </c>
      <c r="C247" s="87" t="s">
        <v>2034</v>
      </c>
      <c r="D247" s="87" t="s">
        <v>1181</v>
      </c>
      <c r="E247" s="87" t="s">
        <v>1182</v>
      </c>
      <c r="F247" s="88" t="s">
        <v>21</v>
      </c>
      <c r="G247" s="87" t="s">
        <v>2048</v>
      </c>
      <c r="H247" s="87"/>
      <c r="I247" s="87" t="s">
        <v>1095</v>
      </c>
      <c r="J247" s="87" t="s">
        <v>1858</v>
      </c>
      <c r="K247" s="87"/>
      <c r="L247" s="89" t="s">
        <v>23</v>
      </c>
      <c r="M247" s="87" t="s">
        <v>397</v>
      </c>
      <c r="N247" s="87" t="s">
        <v>21</v>
      </c>
      <c r="O247" s="90"/>
      <c r="P247" s="87"/>
      <c r="Q247" s="87" t="s">
        <v>24</v>
      </c>
      <c r="R247" s="87"/>
    </row>
    <row r="248" spans="1:18" ht="34.5" hidden="1" x14ac:dyDescent="0.35">
      <c r="A248" s="86" t="s">
        <v>1239</v>
      </c>
      <c r="B248" s="107" t="s">
        <v>831</v>
      </c>
      <c r="C248" s="87" t="s">
        <v>2034</v>
      </c>
      <c r="D248" s="87" t="s">
        <v>1240</v>
      </c>
      <c r="E248" s="87" t="s">
        <v>1241</v>
      </c>
      <c r="F248" s="88" t="s">
        <v>21</v>
      </c>
      <c r="G248" s="87" t="s">
        <v>2049</v>
      </c>
      <c r="H248" s="87" t="s">
        <v>2050</v>
      </c>
      <c r="I248" s="87" t="s">
        <v>163</v>
      </c>
      <c r="J248" s="87" t="s">
        <v>1980</v>
      </c>
      <c r="K248" s="87" t="s">
        <v>164</v>
      </c>
      <c r="L248" s="82" t="s">
        <v>30</v>
      </c>
      <c r="M248" s="87"/>
      <c r="N248" s="87" t="s">
        <v>21</v>
      </c>
      <c r="O248" s="90"/>
      <c r="P248" s="87"/>
      <c r="Q248" s="87" t="s">
        <v>24</v>
      </c>
      <c r="R248" s="87"/>
    </row>
    <row r="249" spans="1:18" ht="23" hidden="1" x14ac:dyDescent="0.35">
      <c r="A249" s="86" t="s">
        <v>1158</v>
      </c>
      <c r="B249" s="107" t="s">
        <v>831</v>
      </c>
      <c r="C249" s="87" t="s">
        <v>2051</v>
      </c>
      <c r="D249" s="87" t="s">
        <v>1159</v>
      </c>
      <c r="E249" s="87"/>
      <c r="F249" s="101" t="s">
        <v>1912</v>
      </c>
      <c r="G249" s="87" t="s">
        <v>1160</v>
      </c>
      <c r="H249" s="87" t="s">
        <v>1161</v>
      </c>
      <c r="I249" s="87"/>
      <c r="J249" s="87"/>
      <c r="K249" s="87" t="s">
        <v>388</v>
      </c>
      <c r="L249" s="94" t="s">
        <v>61</v>
      </c>
      <c r="M249" s="87" t="s">
        <v>1162</v>
      </c>
      <c r="N249" s="87" t="s">
        <v>1163</v>
      </c>
      <c r="O249" s="90"/>
      <c r="P249" s="87"/>
      <c r="Q249" s="87" t="s">
        <v>760</v>
      </c>
      <c r="R249" s="87"/>
    </row>
    <row r="250" spans="1:18" ht="23" hidden="1" x14ac:dyDescent="0.35">
      <c r="A250" s="78" t="s">
        <v>1011</v>
      </c>
      <c r="B250" s="107" t="s">
        <v>831</v>
      </c>
      <c r="C250" s="80" t="s">
        <v>2051</v>
      </c>
      <c r="D250" s="80" t="s">
        <v>1012</v>
      </c>
      <c r="E250" s="80"/>
      <c r="F250" s="101" t="s">
        <v>1912</v>
      </c>
      <c r="G250" s="80" t="s">
        <v>1013</v>
      </c>
      <c r="H250" s="80" t="s">
        <v>1014</v>
      </c>
      <c r="I250" s="80"/>
      <c r="J250" s="80"/>
      <c r="K250" s="80" t="s">
        <v>388</v>
      </c>
      <c r="L250" s="94" t="s">
        <v>61</v>
      </c>
      <c r="M250" s="80" t="s">
        <v>1015</v>
      </c>
      <c r="N250" s="80" t="s">
        <v>1016</v>
      </c>
      <c r="O250" s="83"/>
      <c r="P250" s="80"/>
      <c r="Q250" s="80" t="s">
        <v>760</v>
      </c>
      <c r="R250" s="80"/>
    </row>
    <row r="251" spans="1:18" ht="23" hidden="1" x14ac:dyDescent="0.35">
      <c r="A251" s="78" t="s">
        <v>1035</v>
      </c>
      <c r="B251" s="107" t="s">
        <v>831</v>
      </c>
      <c r="C251" s="80" t="s">
        <v>2051</v>
      </c>
      <c r="D251" s="80" t="s">
        <v>1036</v>
      </c>
      <c r="E251" s="80"/>
      <c r="F251" s="101" t="s">
        <v>1912</v>
      </c>
      <c r="G251" s="80" t="s">
        <v>1037</v>
      </c>
      <c r="H251" s="80" t="s">
        <v>1038</v>
      </c>
      <c r="I251" s="80"/>
      <c r="J251" s="80"/>
      <c r="K251" s="80" t="s">
        <v>302</v>
      </c>
      <c r="L251" s="102" t="s">
        <v>280</v>
      </c>
      <c r="M251" s="80" t="s">
        <v>1039</v>
      </c>
      <c r="N251" s="80" t="s">
        <v>290</v>
      </c>
      <c r="O251" s="83"/>
      <c r="P251" s="80"/>
      <c r="Q251" s="80" t="s">
        <v>491</v>
      </c>
      <c r="R251" s="80"/>
    </row>
    <row r="252" spans="1:18" ht="23" hidden="1" x14ac:dyDescent="0.35">
      <c r="A252" s="86" t="s">
        <v>1025</v>
      </c>
      <c r="B252" s="107" t="s">
        <v>831</v>
      </c>
      <c r="C252" s="87" t="s">
        <v>2052</v>
      </c>
      <c r="D252" s="87" t="s">
        <v>1026</v>
      </c>
      <c r="E252" s="87"/>
      <c r="F252" s="95" t="s">
        <v>466</v>
      </c>
      <c r="G252" s="87" t="s">
        <v>2053</v>
      </c>
      <c r="H252" s="87"/>
      <c r="I252" s="87" t="s">
        <v>2054</v>
      </c>
      <c r="J252" s="87" t="s">
        <v>1835</v>
      </c>
      <c r="K252" s="87" t="s">
        <v>106</v>
      </c>
      <c r="L252" s="92" t="s">
        <v>107</v>
      </c>
      <c r="M252" s="87"/>
      <c r="N252" s="87" t="s">
        <v>1027</v>
      </c>
      <c r="O252" s="90" t="s">
        <v>1829</v>
      </c>
      <c r="P252" s="87" t="s">
        <v>108</v>
      </c>
      <c r="Q252" s="87" t="s">
        <v>39</v>
      </c>
      <c r="R252" s="87" t="s">
        <v>109</v>
      </c>
    </row>
    <row r="253" spans="1:18" ht="34.5" hidden="1" x14ac:dyDescent="0.35">
      <c r="A253" s="78" t="s">
        <v>1028</v>
      </c>
      <c r="B253" s="107" t="s">
        <v>831</v>
      </c>
      <c r="C253" s="80" t="s">
        <v>2052</v>
      </c>
      <c r="D253" s="80" t="s">
        <v>1029</v>
      </c>
      <c r="E253" s="80"/>
      <c r="F253" s="109" t="s">
        <v>1019</v>
      </c>
      <c r="G253" s="80" t="s">
        <v>1030</v>
      </c>
      <c r="H253" s="80"/>
      <c r="I253" s="80" t="s">
        <v>1031</v>
      </c>
      <c r="J253" s="80" t="s">
        <v>1835</v>
      </c>
      <c r="K253" s="80" t="s">
        <v>106</v>
      </c>
      <c r="L253" s="92" t="s">
        <v>107</v>
      </c>
      <c r="M253" s="80" t="s">
        <v>397</v>
      </c>
      <c r="N253" s="80" t="s">
        <v>1019</v>
      </c>
      <c r="O253" s="100" t="s">
        <v>2028</v>
      </c>
      <c r="P253" s="80" t="s">
        <v>108</v>
      </c>
      <c r="Q253" s="80" t="s">
        <v>39</v>
      </c>
      <c r="R253" s="80" t="s">
        <v>109</v>
      </c>
    </row>
    <row r="254" spans="1:18" ht="34.5" hidden="1" x14ac:dyDescent="0.35">
      <c r="A254" s="86" t="s">
        <v>1133</v>
      </c>
      <c r="B254" s="107" t="s">
        <v>831</v>
      </c>
      <c r="C254" s="87" t="s">
        <v>2055</v>
      </c>
      <c r="D254" s="87" t="s">
        <v>1134</v>
      </c>
      <c r="E254" s="87"/>
      <c r="F254" s="96" t="s">
        <v>93</v>
      </c>
      <c r="G254" s="87" t="s">
        <v>2056</v>
      </c>
      <c r="H254" s="87"/>
      <c r="I254" s="87"/>
      <c r="J254" s="87"/>
      <c r="K254" s="87" t="s">
        <v>596</v>
      </c>
      <c r="L254" s="104" t="s">
        <v>597</v>
      </c>
      <c r="M254" s="87" t="s">
        <v>94</v>
      </c>
      <c r="N254" s="87"/>
      <c r="O254" s="90"/>
      <c r="P254" s="87"/>
      <c r="Q254" s="87" t="s">
        <v>95</v>
      </c>
      <c r="R254" s="87" t="s">
        <v>1135</v>
      </c>
    </row>
    <row r="255" spans="1:18" ht="34.5" hidden="1" x14ac:dyDescent="0.35">
      <c r="A255" s="86" t="s">
        <v>1183</v>
      </c>
      <c r="B255" s="107" t="s">
        <v>831</v>
      </c>
      <c r="C255" s="87" t="s">
        <v>2055</v>
      </c>
      <c r="D255" s="87" t="s">
        <v>1184</v>
      </c>
      <c r="E255" s="87"/>
      <c r="F255" s="96" t="s">
        <v>93</v>
      </c>
      <c r="G255" s="87" t="s">
        <v>2057</v>
      </c>
      <c r="H255" s="87"/>
      <c r="I255" s="87"/>
      <c r="J255" s="87"/>
      <c r="K255" s="87" t="s">
        <v>596</v>
      </c>
      <c r="L255" s="104" t="s">
        <v>597</v>
      </c>
      <c r="M255" s="87" t="s">
        <v>94</v>
      </c>
      <c r="N255" s="87"/>
      <c r="O255" s="90"/>
      <c r="P255" s="87"/>
      <c r="Q255" s="87" t="s">
        <v>95</v>
      </c>
      <c r="R255" s="87" t="s">
        <v>1185</v>
      </c>
    </row>
    <row r="256" spans="1:18" ht="34.5" hidden="1" x14ac:dyDescent="0.35">
      <c r="A256" s="86" t="s">
        <v>1032</v>
      </c>
      <c r="B256" s="107" t="s">
        <v>831</v>
      </c>
      <c r="C256" s="87" t="s">
        <v>2055</v>
      </c>
      <c r="D256" s="87" t="s">
        <v>1033</v>
      </c>
      <c r="E256" s="87"/>
      <c r="F256" s="95" t="s">
        <v>466</v>
      </c>
      <c r="G256" s="87" t="s">
        <v>2058</v>
      </c>
      <c r="H256" s="87"/>
      <c r="I256" s="87" t="s">
        <v>1034</v>
      </c>
      <c r="J256" s="87" t="s">
        <v>1831</v>
      </c>
      <c r="K256" s="87" t="s">
        <v>78</v>
      </c>
      <c r="L256" s="85" t="s">
        <v>79</v>
      </c>
      <c r="M256" s="87" t="s">
        <v>397</v>
      </c>
      <c r="N256" s="87" t="s">
        <v>466</v>
      </c>
      <c r="O256" s="90" t="s">
        <v>1829</v>
      </c>
      <c r="P256" s="87" t="s">
        <v>414</v>
      </c>
      <c r="Q256" s="87" t="s">
        <v>39</v>
      </c>
      <c r="R256" s="87" t="s">
        <v>468</v>
      </c>
    </row>
    <row r="257" spans="1:18" ht="34.5" hidden="1" x14ac:dyDescent="0.35">
      <c r="A257" s="86" t="s">
        <v>1227</v>
      </c>
      <c r="B257" s="107" t="s">
        <v>831</v>
      </c>
      <c r="C257" s="87" t="s">
        <v>2055</v>
      </c>
      <c r="D257" s="87" t="s">
        <v>1228</v>
      </c>
      <c r="E257" s="87"/>
      <c r="F257" s="105" t="s">
        <v>413</v>
      </c>
      <c r="G257" s="87" t="s">
        <v>1229</v>
      </c>
      <c r="H257" s="87"/>
      <c r="I257" s="87" t="s">
        <v>2059</v>
      </c>
      <c r="J257" s="87" t="s">
        <v>1831</v>
      </c>
      <c r="K257" s="87" t="s">
        <v>78</v>
      </c>
      <c r="L257" s="85" t="s">
        <v>79</v>
      </c>
      <c r="M257" s="87" t="s">
        <v>397</v>
      </c>
      <c r="N257" s="87" t="s">
        <v>413</v>
      </c>
      <c r="O257" s="100" t="s">
        <v>1907</v>
      </c>
      <c r="P257" s="87" t="s">
        <v>108</v>
      </c>
      <c r="Q257" s="87" t="s">
        <v>39</v>
      </c>
      <c r="R257" s="87" t="s">
        <v>415</v>
      </c>
    </row>
    <row r="258" spans="1:18" ht="23" hidden="1" x14ac:dyDescent="0.35">
      <c r="A258" s="86" t="s">
        <v>990</v>
      </c>
      <c r="B258" s="107" t="s">
        <v>831</v>
      </c>
      <c r="C258" s="87" t="s">
        <v>2060</v>
      </c>
      <c r="D258" s="87" t="s">
        <v>768</v>
      </c>
      <c r="E258" s="87"/>
      <c r="F258" s="101" t="s">
        <v>1912</v>
      </c>
      <c r="G258" s="87" t="s">
        <v>769</v>
      </c>
      <c r="H258" s="87" t="s">
        <v>991</v>
      </c>
      <c r="I258" s="87"/>
      <c r="J258" s="87"/>
      <c r="K258" s="87" t="s">
        <v>302</v>
      </c>
      <c r="L258" s="102" t="s">
        <v>280</v>
      </c>
      <c r="M258" s="87" t="s">
        <v>360</v>
      </c>
      <c r="N258" s="87" t="s">
        <v>361</v>
      </c>
      <c r="O258" s="90"/>
      <c r="P258" s="87"/>
      <c r="Q258" s="87" t="s">
        <v>523</v>
      </c>
      <c r="R258" s="87"/>
    </row>
    <row r="259" spans="1:18" ht="92" hidden="1" x14ac:dyDescent="0.35">
      <c r="A259" s="86" t="s">
        <v>992</v>
      </c>
      <c r="B259" s="107" t="s">
        <v>831</v>
      </c>
      <c r="C259" s="87" t="s">
        <v>2060</v>
      </c>
      <c r="D259" s="87" t="s">
        <v>762</v>
      </c>
      <c r="E259" s="87"/>
      <c r="F259" s="101" t="s">
        <v>1912</v>
      </c>
      <c r="G259" s="87" t="s">
        <v>993</v>
      </c>
      <c r="H259" s="87" t="s">
        <v>994</v>
      </c>
      <c r="I259" s="87"/>
      <c r="J259" s="87"/>
      <c r="K259" s="87" t="s">
        <v>995</v>
      </c>
      <c r="L259" s="102" t="s">
        <v>280</v>
      </c>
      <c r="M259" s="87" t="s">
        <v>996</v>
      </c>
      <c r="N259" s="87" t="s">
        <v>997</v>
      </c>
      <c r="O259" s="90"/>
      <c r="P259" s="87"/>
      <c r="Q259" s="87" t="s">
        <v>523</v>
      </c>
      <c r="R259" s="87"/>
    </row>
    <row r="260" spans="1:18" ht="23" hidden="1" x14ac:dyDescent="0.35">
      <c r="A260" s="78" t="s">
        <v>1164</v>
      </c>
      <c r="B260" s="107" t="s">
        <v>831</v>
      </c>
      <c r="C260" s="80" t="s">
        <v>2060</v>
      </c>
      <c r="D260" s="80" t="s">
        <v>1165</v>
      </c>
      <c r="E260" s="80"/>
      <c r="F260" s="101" t="s">
        <v>1912</v>
      </c>
      <c r="G260" s="80" t="s">
        <v>567</v>
      </c>
      <c r="H260" s="80" t="s">
        <v>1166</v>
      </c>
      <c r="I260" s="80"/>
      <c r="J260" s="80"/>
      <c r="K260" s="80" t="s">
        <v>302</v>
      </c>
      <c r="L260" s="102" t="s">
        <v>280</v>
      </c>
      <c r="M260" s="80" t="s">
        <v>569</v>
      </c>
      <c r="N260" s="80" t="s">
        <v>290</v>
      </c>
      <c r="O260" s="83"/>
      <c r="P260" s="80"/>
      <c r="Q260" s="80" t="s">
        <v>523</v>
      </c>
      <c r="R260" s="80"/>
    </row>
    <row r="261" spans="1:18" ht="23" hidden="1" x14ac:dyDescent="0.35">
      <c r="A261" s="86" t="s">
        <v>869</v>
      </c>
      <c r="B261" s="107" t="s">
        <v>831</v>
      </c>
      <c r="C261" s="87" t="s">
        <v>2060</v>
      </c>
      <c r="D261" s="87" t="s">
        <v>870</v>
      </c>
      <c r="E261" s="87"/>
      <c r="F261" s="96" t="s">
        <v>93</v>
      </c>
      <c r="G261" s="87" t="s">
        <v>2061</v>
      </c>
      <c r="H261" s="87"/>
      <c r="I261" s="87"/>
      <c r="J261" s="87"/>
      <c r="K261" s="87" t="s">
        <v>396</v>
      </c>
      <c r="L261" s="94" t="s">
        <v>61</v>
      </c>
      <c r="M261" s="87" t="s">
        <v>94</v>
      </c>
      <c r="N261" s="87"/>
      <c r="O261" s="90"/>
      <c r="P261" s="87"/>
      <c r="Q261" s="87" t="s">
        <v>95</v>
      </c>
      <c r="R261" s="87" t="s">
        <v>871</v>
      </c>
    </row>
    <row r="262" spans="1:18" ht="23" hidden="1" x14ac:dyDescent="0.35">
      <c r="A262" s="86" t="s">
        <v>872</v>
      </c>
      <c r="B262" s="107" t="s">
        <v>831</v>
      </c>
      <c r="C262" s="87" t="s">
        <v>2060</v>
      </c>
      <c r="D262" s="87" t="s">
        <v>873</v>
      </c>
      <c r="E262" s="87"/>
      <c r="F262" s="110" t="s">
        <v>874</v>
      </c>
      <c r="G262" s="87" t="s">
        <v>875</v>
      </c>
      <c r="H262" s="87"/>
      <c r="I262" s="87" t="s">
        <v>876</v>
      </c>
      <c r="J262" s="87" t="s">
        <v>1837</v>
      </c>
      <c r="K262" s="87" t="s">
        <v>106</v>
      </c>
      <c r="L262" s="92" t="s">
        <v>107</v>
      </c>
      <c r="M262" s="87" t="s">
        <v>397</v>
      </c>
      <c r="N262" s="87" t="s">
        <v>874</v>
      </c>
      <c r="O262" s="90" t="s">
        <v>1829</v>
      </c>
      <c r="P262" s="87"/>
      <c r="Q262" s="87" t="s">
        <v>39</v>
      </c>
      <c r="R262" s="87" t="s">
        <v>109</v>
      </c>
    </row>
    <row r="263" spans="1:18" ht="23" hidden="1" x14ac:dyDescent="0.35">
      <c r="A263" s="86" t="s">
        <v>877</v>
      </c>
      <c r="B263" s="107" t="s">
        <v>831</v>
      </c>
      <c r="C263" s="87" t="s">
        <v>2060</v>
      </c>
      <c r="D263" s="87" t="s">
        <v>878</v>
      </c>
      <c r="E263" s="87"/>
      <c r="F263" s="96" t="s">
        <v>93</v>
      </c>
      <c r="G263" s="87" t="s">
        <v>2062</v>
      </c>
      <c r="H263" s="87"/>
      <c r="I263" s="87"/>
      <c r="J263" s="87"/>
      <c r="K263" s="87" t="s">
        <v>596</v>
      </c>
      <c r="L263" s="104" t="s">
        <v>597</v>
      </c>
      <c r="M263" s="87" t="s">
        <v>94</v>
      </c>
      <c r="N263" s="87"/>
      <c r="O263" s="90"/>
      <c r="P263" s="87"/>
      <c r="Q263" s="87" t="s">
        <v>95</v>
      </c>
      <c r="R263" s="87" t="s">
        <v>879</v>
      </c>
    </row>
    <row r="264" spans="1:18" ht="23" hidden="1" x14ac:dyDescent="0.35">
      <c r="A264" s="78" t="s">
        <v>880</v>
      </c>
      <c r="B264" s="107" t="s">
        <v>831</v>
      </c>
      <c r="C264" s="80" t="s">
        <v>2060</v>
      </c>
      <c r="D264" s="80" t="s">
        <v>881</v>
      </c>
      <c r="E264" s="80"/>
      <c r="F264" s="101" t="s">
        <v>1912</v>
      </c>
      <c r="G264" s="80" t="s">
        <v>882</v>
      </c>
      <c r="H264" s="80" t="s">
        <v>883</v>
      </c>
      <c r="I264" s="80"/>
      <c r="J264" s="80"/>
      <c r="K264" s="80" t="s">
        <v>302</v>
      </c>
      <c r="L264" s="102" t="s">
        <v>280</v>
      </c>
      <c r="M264" s="80" t="s">
        <v>416</v>
      </c>
      <c r="N264" s="80" t="s">
        <v>884</v>
      </c>
      <c r="O264" s="83"/>
      <c r="P264" s="80"/>
      <c r="Q264" s="80" t="s">
        <v>329</v>
      </c>
      <c r="R264" s="80"/>
    </row>
    <row r="265" spans="1:18" ht="34.5" x14ac:dyDescent="0.35">
      <c r="A265" s="78" t="s">
        <v>904</v>
      </c>
      <c r="B265" s="107" t="s">
        <v>831</v>
      </c>
      <c r="C265" s="80" t="s">
        <v>2060</v>
      </c>
      <c r="D265" s="80" t="s">
        <v>905</v>
      </c>
      <c r="E265" s="80"/>
      <c r="F265" s="98" t="s">
        <v>76</v>
      </c>
      <c r="G265" s="80" t="s">
        <v>2063</v>
      </c>
      <c r="H265" s="80"/>
      <c r="I265" s="80" t="s">
        <v>906</v>
      </c>
      <c r="J265" s="80" t="s">
        <v>1906</v>
      </c>
      <c r="K265" s="80" t="s">
        <v>78</v>
      </c>
      <c r="L265" s="85" t="s">
        <v>79</v>
      </c>
      <c r="M265" s="80" t="s">
        <v>397</v>
      </c>
      <c r="N265" s="80" t="s">
        <v>76</v>
      </c>
      <c r="O265" s="83" t="s">
        <v>1829</v>
      </c>
      <c r="P265" s="80" t="s">
        <v>414</v>
      </c>
      <c r="Q265" s="80" t="s">
        <v>39</v>
      </c>
      <c r="R265" s="80" t="s">
        <v>472</v>
      </c>
    </row>
    <row r="266" spans="1:18" ht="23" hidden="1" x14ac:dyDescent="0.35">
      <c r="A266" s="78" t="s">
        <v>907</v>
      </c>
      <c r="B266" s="107" t="s">
        <v>831</v>
      </c>
      <c r="C266" s="80" t="s">
        <v>2060</v>
      </c>
      <c r="D266" s="80" t="s">
        <v>908</v>
      </c>
      <c r="E266" s="80"/>
      <c r="F266" s="101" t="s">
        <v>1912</v>
      </c>
      <c r="G266" s="80" t="s">
        <v>909</v>
      </c>
      <c r="H266" s="80" t="s">
        <v>910</v>
      </c>
      <c r="I266" s="80"/>
      <c r="J266" s="80"/>
      <c r="K266" s="80" t="s">
        <v>302</v>
      </c>
      <c r="L266" s="102" t="s">
        <v>280</v>
      </c>
      <c r="M266" s="80" t="s">
        <v>416</v>
      </c>
      <c r="N266" s="80" t="s">
        <v>290</v>
      </c>
      <c r="O266" s="83"/>
      <c r="P266" s="80"/>
      <c r="Q266" s="80" t="s">
        <v>509</v>
      </c>
      <c r="R266" s="80"/>
    </row>
    <row r="267" spans="1:18" ht="23" hidden="1" x14ac:dyDescent="0.35">
      <c r="A267" s="78" t="s">
        <v>911</v>
      </c>
      <c r="B267" s="107" t="s">
        <v>831</v>
      </c>
      <c r="C267" s="80" t="s">
        <v>2060</v>
      </c>
      <c r="D267" s="80" t="s">
        <v>912</v>
      </c>
      <c r="E267" s="80"/>
      <c r="F267" s="111" t="s">
        <v>913</v>
      </c>
      <c r="G267" s="80" t="s">
        <v>914</v>
      </c>
      <c r="H267" s="80"/>
      <c r="I267" s="80" t="s">
        <v>2064</v>
      </c>
      <c r="J267" s="80" t="s">
        <v>1835</v>
      </c>
      <c r="K267" s="80" t="s">
        <v>78</v>
      </c>
      <c r="L267" s="85" t="s">
        <v>79</v>
      </c>
      <c r="M267" s="80" t="s">
        <v>397</v>
      </c>
      <c r="N267" s="80" t="s">
        <v>913</v>
      </c>
      <c r="O267" s="83" t="s">
        <v>1829</v>
      </c>
      <c r="P267" s="80" t="s">
        <v>108</v>
      </c>
      <c r="Q267" s="80" t="s">
        <v>39</v>
      </c>
      <c r="R267" s="80" t="s">
        <v>468</v>
      </c>
    </row>
    <row r="268" spans="1:18" ht="23" hidden="1" x14ac:dyDescent="0.35">
      <c r="A268" s="78" t="s">
        <v>915</v>
      </c>
      <c r="B268" s="107" t="s">
        <v>831</v>
      </c>
      <c r="C268" s="80" t="s">
        <v>2060</v>
      </c>
      <c r="D268" s="80" t="s">
        <v>916</v>
      </c>
      <c r="E268" s="80"/>
      <c r="F268" s="101" t="s">
        <v>1912</v>
      </c>
      <c r="G268" s="80" t="s">
        <v>917</v>
      </c>
      <c r="H268" s="80" t="s">
        <v>918</v>
      </c>
      <c r="I268" s="80"/>
      <c r="J268" s="80"/>
      <c r="K268" s="80" t="s">
        <v>388</v>
      </c>
      <c r="L268" s="94" t="s">
        <v>61</v>
      </c>
      <c r="M268" s="80" t="s">
        <v>416</v>
      </c>
      <c r="N268" s="80" t="s">
        <v>919</v>
      </c>
      <c r="O268" s="83"/>
      <c r="P268" s="80"/>
      <c r="Q268" s="80" t="s">
        <v>658</v>
      </c>
      <c r="R268" s="80"/>
    </row>
    <row r="269" spans="1:18" ht="23" hidden="1" x14ac:dyDescent="0.35">
      <c r="A269" s="78" t="s">
        <v>1198</v>
      </c>
      <c r="B269" s="107" t="s">
        <v>831</v>
      </c>
      <c r="C269" s="80" t="s">
        <v>2060</v>
      </c>
      <c r="D269" s="80" t="s">
        <v>1199</v>
      </c>
      <c r="E269" s="80"/>
      <c r="F269" s="101" t="s">
        <v>1912</v>
      </c>
      <c r="G269" s="80" t="s">
        <v>1200</v>
      </c>
      <c r="H269" s="80" t="s">
        <v>1201</v>
      </c>
      <c r="I269" s="80"/>
      <c r="J269" s="80"/>
      <c r="K269" s="80" t="s">
        <v>388</v>
      </c>
      <c r="L269" s="94" t="s">
        <v>61</v>
      </c>
      <c r="M269" s="80" t="s">
        <v>1202</v>
      </c>
      <c r="N269" s="80" t="s">
        <v>1203</v>
      </c>
      <c r="O269" s="83"/>
      <c r="P269" s="80"/>
      <c r="Q269" s="80" t="s">
        <v>658</v>
      </c>
      <c r="R269" s="80"/>
    </row>
    <row r="270" spans="1:18" ht="23" hidden="1" x14ac:dyDescent="0.35">
      <c r="A270" s="86" t="s">
        <v>920</v>
      </c>
      <c r="B270" s="107" t="s">
        <v>831</v>
      </c>
      <c r="C270" s="87" t="s">
        <v>2060</v>
      </c>
      <c r="D270" s="87" t="s">
        <v>921</v>
      </c>
      <c r="E270" s="87"/>
      <c r="F270" s="101" t="s">
        <v>1912</v>
      </c>
      <c r="G270" s="87" t="s">
        <v>922</v>
      </c>
      <c r="H270" s="87" t="s">
        <v>923</v>
      </c>
      <c r="I270" s="87"/>
      <c r="J270" s="87"/>
      <c r="K270" s="87" t="s">
        <v>388</v>
      </c>
      <c r="L270" s="94" t="s">
        <v>61</v>
      </c>
      <c r="M270" s="87" t="s">
        <v>924</v>
      </c>
      <c r="N270" s="87" t="s">
        <v>925</v>
      </c>
      <c r="O270" s="90"/>
      <c r="P270" s="87"/>
      <c r="Q270" s="87" t="s">
        <v>658</v>
      </c>
      <c r="R270" s="87"/>
    </row>
    <row r="271" spans="1:18" ht="23" hidden="1" x14ac:dyDescent="0.35">
      <c r="A271" s="86" t="s">
        <v>926</v>
      </c>
      <c r="B271" s="107" t="s">
        <v>831</v>
      </c>
      <c r="C271" s="87" t="s">
        <v>2060</v>
      </c>
      <c r="D271" s="87" t="s">
        <v>927</v>
      </c>
      <c r="E271" s="87"/>
      <c r="F271" s="101" t="s">
        <v>1912</v>
      </c>
      <c r="G271" s="87" t="s">
        <v>928</v>
      </c>
      <c r="H271" s="87" t="s">
        <v>929</v>
      </c>
      <c r="I271" s="87"/>
      <c r="J271" s="87"/>
      <c r="K271" s="87" t="s">
        <v>388</v>
      </c>
      <c r="L271" s="94" t="s">
        <v>61</v>
      </c>
      <c r="M271" s="87" t="s">
        <v>416</v>
      </c>
      <c r="N271" s="87" t="s">
        <v>895</v>
      </c>
      <c r="O271" s="90"/>
      <c r="P271" s="87"/>
      <c r="Q271" s="87" t="s">
        <v>893</v>
      </c>
      <c r="R271" s="87"/>
    </row>
    <row r="272" spans="1:18" ht="23" hidden="1" x14ac:dyDescent="0.35">
      <c r="A272" s="78" t="s">
        <v>930</v>
      </c>
      <c r="B272" s="107" t="s">
        <v>831</v>
      </c>
      <c r="C272" s="80" t="s">
        <v>2060</v>
      </c>
      <c r="D272" s="80" t="s">
        <v>931</v>
      </c>
      <c r="E272" s="80"/>
      <c r="F272" s="101" t="s">
        <v>1912</v>
      </c>
      <c r="G272" s="80" t="s">
        <v>932</v>
      </c>
      <c r="H272" s="80" t="s">
        <v>933</v>
      </c>
      <c r="I272" s="80"/>
      <c r="J272" s="80"/>
      <c r="K272" s="80" t="s">
        <v>388</v>
      </c>
      <c r="L272" s="94" t="s">
        <v>61</v>
      </c>
      <c r="M272" s="80" t="s">
        <v>934</v>
      </c>
      <c r="N272" s="80" t="s">
        <v>935</v>
      </c>
      <c r="O272" s="83"/>
      <c r="P272" s="80"/>
      <c r="Q272" s="80" t="s">
        <v>658</v>
      </c>
      <c r="R272" s="80"/>
    </row>
    <row r="273" spans="1:18" ht="23" hidden="1" x14ac:dyDescent="0.35">
      <c r="A273" s="78" t="s">
        <v>1214</v>
      </c>
      <c r="B273" s="107" t="s">
        <v>831</v>
      </c>
      <c r="C273" s="80" t="s">
        <v>2060</v>
      </c>
      <c r="D273" s="80" t="s">
        <v>1215</v>
      </c>
      <c r="E273" s="80"/>
      <c r="F273" s="101" t="s">
        <v>1912</v>
      </c>
      <c r="G273" s="80" t="s">
        <v>1216</v>
      </c>
      <c r="H273" s="80" t="s">
        <v>1217</v>
      </c>
      <c r="I273" s="80"/>
      <c r="J273" s="80"/>
      <c r="K273" s="80" t="s">
        <v>388</v>
      </c>
      <c r="L273" s="94" t="s">
        <v>61</v>
      </c>
      <c r="M273" s="80" t="s">
        <v>528</v>
      </c>
      <c r="N273" s="80" t="s">
        <v>1218</v>
      </c>
      <c r="O273" s="83"/>
      <c r="P273" s="80"/>
      <c r="Q273" s="80" t="s">
        <v>658</v>
      </c>
      <c r="R273" s="80"/>
    </row>
    <row r="274" spans="1:18" ht="34.5" hidden="1" x14ac:dyDescent="0.35">
      <c r="A274" s="78" t="s">
        <v>1251</v>
      </c>
      <c r="B274" s="107" t="s">
        <v>831</v>
      </c>
      <c r="C274" s="80" t="s">
        <v>2060</v>
      </c>
      <c r="D274" s="80" t="s">
        <v>1252</v>
      </c>
      <c r="E274" s="80"/>
      <c r="F274" s="101" t="s">
        <v>1912</v>
      </c>
      <c r="G274" s="80" t="s">
        <v>1253</v>
      </c>
      <c r="H274" s="80" t="s">
        <v>1254</v>
      </c>
      <c r="I274" s="80"/>
      <c r="J274" s="80"/>
      <c r="K274" s="80" t="s">
        <v>826</v>
      </c>
      <c r="L274" s="102" t="s">
        <v>280</v>
      </c>
      <c r="M274" s="80" t="s">
        <v>303</v>
      </c>
      <c r="N274" s="80" t="s">
        <v>290</v>
      </c>
      <c r="O274" s="83"/>
      <c r="P274" s="80"/>
      <c r="Q274" s="80" t="s">
        <v>523</v>
      </c>
      <c r="R274" s="80"/>
    </row>
    <row r="275" spans="1:18" ht="23" hidden="1" x14ac:dyDescent="0.35">
      <c r="A275" s="86" t="s">
        <v>1255</v>
      </c>
      <c r="B275" s="107" t="s">
        <v>831</v>
      </c>
      <c r="C275" s="87" t="s">
        <v>2060</v>
      </c>
      <c r="D275" s="87" t="s">
        <v>1256</v>
      </c>
      <c r="E275" s="87"/>
      <c r="F275" s="101" t="s">
        <v>1912</v>
      </c>
      <c r="G275" s="87" t="s">
        <v>1257</v>
      </c>
      <c r="H275" s="87" t="s">
        <v>1258</v>
      </c>
      <c r="I275" s="87"/>
      <c r="J275" s="87"/>
      <c r="K275" s="87" t="s">
        <v>388</v>
      </c>
      <c r="L275" s="94" t="s">
        <v>61</v>
      </c>
      <c r="M275" s="87" t="s">
        <v>320</v>
      </c>
      <c r="N275" s="87" t="s">
        <v>1249</v>
      </c>
      <c r="O275" s="90"/>
      <c r="P275" s="87"/>
      <c r="Q275" s="87" t="s">
        <v>658</v>
      </c>
      <c r="R275" s="87"/>
    </row>
    <row r="276" spans="1:18" ht="23" hidden="1" x14ac:dyDescent="0.35">
      <c r="A276" s="78" t="s">
        <v>1259</v>
      </c>
      <c r="B276" s="107" t="s">
        <v>831</v>
      </c>
      <c r="C276" s="80" t="s">
        <v>2060</v>
      </c>
      <c r="D276" s="80" t="s">
        <v>1260</v>
      </c>
      <c r="E276" s="80"/>
      <c r="F276" s="101" t="s">
        <v>1912</v>
      </c>
      <c r="G276" s="80" t="s">
        <v>1261</v>
      </c>
      <c r="H276" s="80" t="s">
        <v>1262</v>
      </c>
      <c r="I276" s="80"/>
      <c r="J276" s="80"/>
      <c r="K276" s="80" t="s">
        <v>388</v>
      </c>
      <c r="L276" s="94" t="s">
        <v>61</v>
      </c>
      <c r="M276" s="80" t="s">
        <v>320</v>
      </c>
      <c r="N276" s="80" t="s">
        <v>1249</v>
      </c>
      <c r="O276" s="83"/>
      <c r="P276" s="80"/>
      <c r="Q276" s="80" t="s">
        <v>760</v>
      </c>
      <c r="R276" s="80"/>
    </row>
    <row r="277" spans="1:18" ht="23" hidden="1" x14ac:dyDescent="0.35">
      <c r="A277" s="78" t="s">
        <v>865</v>
      </c>
      <c r="B277" s="107" t="s">
        <v>831</v>
      </c>
      <c r="C277" s="80" t="s">
        <v>2065</v>
      </c>
      <c r="D277" s="80" t="s">
        <v>866</v>
      </c>
      <c r="E277" s="80"/>
      <c r="F277" s="96" t="s">
        <v>93</v>
      </c>
      <c r="G277" s="80" t="s">
        <v>867</v>
      </c>
      <c r="H277" s="80"/>
      <c r="I277" s="80"/>
      <c r="J277" s="80"/>
      <c r="K277" s="80" t="s">
        <v>596</v>
      </c>
      <c r="L277" s="104" t="s">
        <v>597</v>
      </c>
      <c r="M277" s="80" t="s">
        <v>397</v>
      </c>
      <c r="N277" s="80"/>
      <c r="O277" s="83"/>
      <c r="P277" s="80"/>
      <c r="Q277" s="80" t="s">
        <v>95</v>
      </c>
      <c r="R277" s="80" t="s">
        <v>868</v>
      </c>
    </row>
    <row r="278" spans="1:18" ht="23" hidden="1" x14ac:dyDescent="0.35">
      <c r="A278" s="78" t="s">
        <v>962</v>
      </c>
      <c r="B278" s="107" t="s">
        <v>831</v>
      </c>
      <c r="C278" s="80" t="s">
        <v>2065</v>
      </c>
      <c r="D278" s="80" t="s">
        <v>963</v>
      </c>
      <c r="E278" s="80"/>
      <c r="F278" s="105" t="s">
        <v>413</v>
      </c>
      <c r="G278" s="80" t="s">
        <v>964</v>
      </c>
      <c r="H278" s="80"/>
      <c r="I278" s="80" t="s">
        <v>965</v>
      </c>
      <c r="J278" s="80" t="s">
        <v>1837</v>
      </c>
      <c r="K278" s="80" t="s">
        <v>106</v>
      </c>
      <c r="L278" s="92" t="s">
        <v>107</v>
      </c>
      <c r="M278" s="80" t="s">
        <v>397</v>
      </c>
      <c r="N278" s="80" t="s">
        <v>413</v>
      </c>
      <c r="O278" s="83" t="s">
        <v>1829</v>
      </c>
      <c r="P278" s="80"/>
      <c r="Q278" s="80" t="s">
        <v>39</v>
      </c>
      <c r="R278" s="80" t="s">
        <v>552</v>
      </c>
    </row>
    <row r="279" spans="1:18" ht="34.5" hidden="1" x14ac:dyDescent="0.35">
      <c r="A279" s="86" t="s">
        <v>966</v>
      </c>
      <c r="B279" s="107" t="s">
        <v>831</v>
      </c>
      <c r="C279" s="87" t="s">
        <v>2065</v>
      </c>
      <c r="D279" s="87" t="s">
        <v>967</v>
      </c>
      <c r="E279" s="87" t="s">
        <v>968</v>
      </c>
      <c r="F279" s="88" t="s">
        <v>21</v>
      </c>
      <c r="G279" s="87" t="s">
        <v>2066</v>
      </c>
      <c r="H279" s="87" t="s">
        <v>1952</v>
      </c>
      <c r="I279" s="87" t="s">
        <v>2067</v>
      </c>
      <c r="J279" s="87" t="s">
        <v>1848</v>
      </c>
      <c r="K279" s="87" t="s">
        <v>232</v>
      </c>
      <c r="L279" s="82" t="s">
        <v>30</v>
      </c>
      <c r="M279" s="87"/>
      <c r="N279" s="87" t="s">
        <v>21</v>
      </c>
      <c r="O279" s="90"/>
      <c r="P279" s="87"/>
      <c r="Q279" s="87" t="s">
        <v>24</v>
      </c>
      <c r="R279" s="87"/>
    </row>
    <row r="280" spans="1:18" ht="23" hidden="1" x14ac:dyDescent="0.35">
      <c r="A280" s="78" t="s">
        <v>969</v>
      </c>
      <c r="B280" s="107" t="s">
        <v>831</v>
      </c>
      <c r="C280" s="80" t="s">
        <v>2065</v>
      </c>
      <c r="D280" s="80" t="s">
        <v>970</v>
      </c>
      <c r="E280" s="80"/>
      <c r="F280" s="101" t="s">
        <v>1912</v>
      </c>
      <c r="G280" s="80" t="s">
        <v>971</v>
      </c>
      <c r="H280" s="80" t="s">
        <v>972</v>
      </c>
      <c r="I280" s="80"/>
      <c r="J280" s="80"/>
      <c r="K280" s="80" t="s">
        <v>388</v>
      </c>
      <c r="L280" s="94" t="s">
        <v>61</v>
      </c>
      <c r="M280" s="80" t="s">
        <v>973</v>
      </c>
      <c r="N280" s="80" t="s">
        <v>974</v>
      </c>
      <c r="O280" s="83"/>
      <c r="P280" s="80"/>
      <c r="Q280" s="80" t="s">
        <v>821</v>
      </c>
      <c r="R280" s="80"/>
    </row>
    <row r="281" spans="1:18" ht="23" hidden="1" x14ac:dyDescent="0.35">
      <c r="A281" s="78" t="s">
        <v>975</v>
      </c>
      <c r="B281" s="107" t="s">
        <v>831</v>
      </c>
      <c r="C281" s="80" t="s">
        <v>2065</v>
      </c>
      <c r="D281" s="80" t="s">
        <v>976</v>
      </c>
      <c r="E281" s="80"/>
      <c r="F281" s="96" t="s">
        <v>93</v>
      </c>
      <c r="G281" s="80" t="s">
        <v>2068</v>
      </c>
      <c r="H281" s="80"/>
      <c r="I281" s="80"/>
      <c r="J281" s="80"/>
      <c r="K281" s="80" t="s">
        <v>396</v>
      </c>
      <c r="L281" s="94" t="s">
        <v>61</v>
      </c>
      <c r="M281" s="80" t="s">
        <v>94</v>
      </c>
      <c r="N281" s="80"/>
      <c r="O281" s="83"/>
      <c r="P281" s="80"/>
      <c r="Q281" s="80" t="s">
        <v>95</v>
      </c>
      <c r="R281" s="80" t="s">
        <v>977</v>
      </c>
    </row>
    <row r="282" spans="1:18" ht="23" hidden="1" x14ac:dyDescent="0.35">
      <c r="A282" s="78" t="s">
        <v>885</v>
      </c>
      <c r="B282" s="107" t="s">
        <v>831</v>
      </c>
      <c r="C282" s="80" t="s">
        <v>2065</v>
      </c>
      <c r="D282" s="80" t="s">
        <v>886</v>
      </c>
      <c r="E282" s="80"/>
      <c r="F282" s="110" t="s">
        <v>874</v>
      </c>
      <c r="G282" s="80" t="s">
        <v>887</v>
      </c>
      <c r="H282" s="80"/>
      <c r="I282" s="80" t="s">
        <v>888</v>
      </c>
      <c r="J282" s="80" t="s">
        <v>1851</v>
      </c>
      <c r="K282" s="80" t="s">
        <v>78</v>
      </c>
      <c r="L282" s="85" t="s">
        <v>79</v>
      </c>
      <c r="M282" s="80" t="s">
        <v>397</v>
      </c>
      <c r="N282" s="80" t="s">
        <v>874</v>
      </c>
      <c r="O282" s="100" t="s">
        <v>2030</v>
      </c>
      <c r="P282" s="80" t="s">
        <v>889</v>
      </c>
      <c r="Q282" s="80" t="s">
        <v>39</v>
      </c>
      <c r="R282" s="80" t="s">
        <v>890</v>
      </c>
    </row>
    <row r="283" spans="1:18" ht="34.5" hidden="1" x14ac:dyDescent="0.35">
      <c r="A283" s="86" t="s">
        <v>891</v>
      </c>
      <c r="B283" s="107" t="s">
        <v>831</v>
      </c>
      <c r="C283" s="87" t="s">
        <v>2065</v>
      </c>
      <c r="D283" s="87" t="s">
        <v>892</v>
      </c>
      <c r="E283" s="87"/>
      <c r="F283" s="101" t="s">
        <v>1912</v>
      </c>
      <c r="G283" s="87" t="s">
        <v>893</v>
      </c>
      <c r="H283" s="87" t="s">
        <v>894</v>
      </c>
      <c r="I283" s="87"/>
      <c r="J283" s="87"/>
      <c r="K283" s="87" t="s">
        <v>388</v>
      </c>
      <c r="L283" s="94" t="s">
        <v>61</v>
      </c>
      <c r="M283" s="87" t="s">
        <v>834</v>
      </c>
      <c r="N283" s="87" t="s">
        <v>895</v>
      </c>
      <c r="O283" s="90"/>
      <c r="P283" s="87"/>
      <c r="Q283" s="87" t="s">
        <v>893</v>
      </c>
      <c r="R283" s="87"/>
    </row>
    <row r="284" spans="1:18" ht="23" hidden="1" x14ac:dyDescent="0.35">
      <c r="A284" s="78" t="s">
        <v>896</v>
      </c>
      <c r="B284" s="107" t="s">
        <v>831</v>
      </c>
      <c r="C284" s="80" t="s">
        <v>2065</v>
      </c>
      <c r="D284" s="80" t="s">
        <v>897</v>
      </c>
      <c r="E284" s="80"/>
      <c r="F284" s="96" t="s">
        <v>93</v>
      </c>
      <c r="G284" s="80" t="s">
        <v>2069</v>
      </c>
      <c r="H284" s="80"/>
      <c r="I284" s="80"/>
      <c r="J284" s="80"/>
      <c r="K284" s="80" t="s">
        <v>596</v>
      </c>
      <c r="L284" s="104" t="s">
        <v>597</v>
      </c>
      <c r="M284" s="80" t="s">
        <v>94</v>
      </c>
      <c r="N284" s="80"/>
      <c r="O284" s="83"/>
      <c r="P284" s="80"/>
      <c r="Q284" s="80" t="s">
        <v>95</v>
      </c>
      <c r="R284" s="80" t="s">
        <v>898</v>
      </c>
    </row>
    <row r="285" spans="1:18" ht="23" hidden="1" x14ac:dyDescent="0.35">
      <c r="A285" s="86" t="s">
        <v>899</v>
      </c>
      <c r="B285" s="107" t="s">
        <v>831</v>
      </c>
      <c r="C285" s="87" t="s">
        <v>2065</v>
      </c>
      <c r="D285" s="87" t="s">
        <v>900</v>
      </c>
      <c r="E285" s="87"/>
      <c r="F285" s="98" t="s">
        <v>76</v>
      </c>
      <c r="G285" s="87" t="s">
        <v>901</v>
      </c>
      <c r="H285" s="87"/>
      <c r="I285" s="87" t="s">
        <v>902</v>
      </c>
      <c r="J285" s="87" t="s">
        <v>1867</v>
      </c>
      <c r="K285" s="87" t="s">
        <v>106</v>
      </c>
      <c r="L285" s="92" t="s">
        <v>107</v>
      </c>
      <c r="M285" s="87" t="s">
        <v>397</v>
      </c>
      <c r="N285" s="87" t="s">
        <v>76</v>
      </c>
      <c r="O285" s="90" t="s">
        <v>1829</v>
      </c>
      <c r="P285" s="87" t="s">
        <v>173</v>
      </c>
      <c r="Q285" s="87" t="s">
        <v>39</v>
      </c>
      <c r="R285" s="87" t="s">
        <v>903</v>
      </c>
    </row>
    <row r="286" spans="1:18" ht="23" hidden="1" x14ac:dyDescent="0.35">
      <c r="A286" s="78" t="s">
        <v>978</v>
      </c>
      <c r="B286" s="107" t="s">
        <v>831</v>
      </c>
      <c r="C286" s="80" t="s">
        <v>2065</v>
      </c>
      <c r="D286" s="80" t="s">
        <v>979</v>
      </c>
      <c r="E286" s="80"/>
      <c r="F286" s="101" t="s">
        <v>1912</v>
      </c>
      <c r="G286" s="80" t="s">
        <v>980</v>
      </c>
      <c r="H286" s="80" t="s">
        <v>981</v>
      </c>
      <c r="I286" s="80"/>
      <c r="J286" s="80"/>
      <c r="K286" s="80" t="s">
        <v>388</v>
      </c>
      <c r="L286" s="94" t="s">
        <v>61</v>
      </c>
      <c r="M286" s="80" t="s">
        <v>416</v>
      </c>
      <c r="N286" s="80" t="s">
        <v>982</v>
      </c>
      <c r="O286" s="83"/>
      <c r="P286" s="80"/>
      <c r="Q286" s="80" t="s">
        <v>821</v>
      </c>
      <c r="R286" s="80"/>
    </row>
    <row r="287" spans="1:18" ht="34.5" hidden="1" x14ac:dyDescent="0.35">
      <c r="A287" s="78" t="s">
        <v>1186</v>
      </c>
      <c r="B287" s="107" t="s">
        <v>831</v>
      </c>
      <c r="C287" s="80" t="s">
        <v>2065</v>
      </c>
      <c r="D287" s="80" t="s">
        <v>1187</v>
      </c>
      <c r="E287" s="80"/>
      <c r="F287" s="96" t="s">
        <v>93</v>
      </c>
      <c r="G287" s="80" t="s">
        <v>2070</v>
      </c>
      <c r="H287" s="80"/>
      <c r="I287" s="80"/>
      <c r="J287" s="80"/>
      <c r="K287" s="80" t="s">
        <v>596</v>
      </c>
      <c r="L287" s="104" t="s">
        <v>597</v>
      </c>
      <c r="M287" s="80" t="s">
        <v>94</v>
      </c>
      <c r="N287" s="80"/>
      <c r="O287" s="83"/>
      <c r="P287" s="80"/>
      <c r="Q287" s="80" t="s">
        <v>95</v>
      </c>
      <c r="R287" s="80" t="s">
        <v>1188</v>
      </c>
    </row>
    <row r="288" spans="1:18" ht="23" hidden="1" x14ac:dyDescent="0.35">
      <c r="A288" s="86" t="s">
        <v>983</v>
      </c>
      <c r="B288" s="107" t="s">
        <v>831</v>
      </c>
      <c r="C288" s="87" t="s">
        <v>2065</v>
      </c>
      <c r="D288" s="87" t="s">
        <v>984</v>
      </c>
      <c r="E288" s="87"/>
      <c r="F288" s="101" t="s">
        <v>1912</v>
      </c>
      <c r="G288" s="87" t="s">
        <v>985</v>
      </c>
      <c r="H288" s="87" t="s">
        <v>986</v>
      </c>
      <c r="I288" s="87"/>
      <c r="J288" s="87"/>
      <c r="K288" s="87" t="s">
        <v>388</v>
      </c>
      <c r="L288" s="94" t="s">
        <v>61</v>
      </c>
      <c r="M288" s="87" t="s">
        <v>758</v>
      </c>
      <c r="N288" s="87" t="s">
        <v>982</v>
      </c>
      <c r="O288" s="90"/>
      <c r="P288" s="87"/>
      <c r="Q288" s="87" t="s">
        <v>821</v>
      </c>
      <c r="R288" s="87"/>
    </row>
    <row r="289" spans="1:18" ht="23" hidden="1" x14ac:dyDescent="0.35">
      <c r="A289" s="78" t="s">
        <v>936</v>
      </c>
      <c r="B289" s="107" t="s">
        <v>831</v>
      </c>
      <c r="C289" s="80" t="s">
        <v>2065</v>
      </c>
      <c r="D289" s="80" t="s">
        <v>937</v>
      </c>
      <c r="E289" s="80"/>
      <c r="F289" s="101" t="s">
        <v>1912</v>
      </c>
      <c r="G289" s="80" t="s">
        <v>938</v>
      </c>
      <c r="H289" s="80" t="s">
        <v>939</v>
      </c>
      <c r="I289" s="80"/>
      <c r="J289" s="80"/>
      <c r="K289" s="80" t="s">
        <v>388</v>
      </c>
      <c r="L289" s="94" t="s">
        <v>61</v>
      </c>
      <c r="M289" s="80" t="s">
        <v>858</v>
      </c>
      <c r="N289" s="80" t="s">
        <v>940</v>
      </c>
      <c r="O289" s="83"/>
      <c r="P289" s="80"/>
      <c r="Q289" s="80" t="s">
        <v>941</v>
      </c>
      <c r="R289" s="80"/>
    </row>
    <row r="290" spans="1:18" ht="34.5" hidden="1" x14ac:dyDescent="0.35">
      <c r="A290" s="86" t="s">
        <v>942</v>
      </c>
      <c r="B290" s="107" t="s">
        <v>831</v>
      </c>
      <c r="C290" s="87" t="s">
        <v>2065</v>
      </c>
      <c r="D290" s="87" t="s">
        <v>943</v>
      </c>
      <c r="E290" s="87"/>
      <c r="F290" s="101" t="s">
        <v>1912</v>
      </c>
      <c r="G290" s="87" t="s">
        <v>944</v>
      </c>
      <c r="H290" s="87" t="s">
        <v>945</v>
      </c>
      <c r="I290" s="87"/>
      <c r="J290" s="87"/>
      <c r="K290" s="87" t="s">
        <v>302</v>
      </c>
      <c r="L290" s="102" t="s">
        <v>280</v>
      </c>
      <c r="M290" s="87" t="s">
        <v>858</v>
      </c>
      <c r="N290" s="87" t="s">
        <v>946</v>
      </c>
      <c r="O290" s="90"/>
      <c r="P290" s="87"/>
      <c r="Q290" s="87" t="s">
        <v>941</v>
      </c>
      <c r="R290" s="87"/>
    </row>
    <row r="291" spans="1:18" ht="34.5" hidden="1" x14ac:dyDescent="0.35">
      <c r="A291" s="78" t="s">
        <v>947</v>
      </c>
      <c r="B291" s="107" t="s">
        <v>831</v>
      </c>
      <c r="C291" s="80" t="s">
        <v>2065</v>
      </c>
      <c r="D291" s="80" t="s">
        <v>948</v>
      </c>
      <c r="E291" s="80"/>
      <c r="F291" s="101" t="s">
        <v>1912</v>
      </c>
      <c r="G291" s="80" t="s">
        <v>949</v>
      </c>
      <c r="H291" s="80" t="s">
        <v>950</v>
      </c>
      <c r="I291" s="80"/>
      <c r="J291" s="80"/>
      <c r="K291" s="80" t="s">
        <v>951</v>
      </c>
      <c r="L291" s="92" t="s">
        <v>107</v>
      </c>
      <c r="M291" s="80" t="s">
        <v>952</v>
      </c>
      <c r="N291" s="80" t="s">
        <v>946</v>
      </c>
      <c r="O291" s="83"/>
      <c r="P291" s="80"/>
      <c r="Q291" s="80" t="s">
        <v>941</v>
      </c>
      <c r="R291" s="80"/>
    </row>
    <row r="292" spans="1:18" ht="34.5" hidden="1" x14ac:dyDescent="0.35">
      <c r="A292" s="86" t="s">
        <v>953</v>
      </c>
      <c r="B292" s="107" t="s">
        <v>831</v>
      </c>
      <c r="C292" s="87" t="s">
        <v>2065</v>
      </c>
      <c r="D292" s="87" t="s">
        <v>954</v>
      </c>
      <c r="E292" s="87"/>
      <c r="F292" s="101" t="s">
        <v>1912</v>
      </c>
      <c r="G292" s="87" t="s">
        <v>955</v>
      </c>
      <c r="H292" s="87" t="s">
        <v>956</v>
      </c>
      <c r="I292" s="87"/>
      <c r="J292" s="87"/>
      <c r="K292" s="87" t="s">
        <v>302</v>
      </c>
      <c r="L292" s="102" t="s">
        <v>280</v>
      </c>
      <c r="M292" s="87" t="s">
        <v>858</v>
      </c>
      <c r="N292" s="87" t="s">
        <v>957</v>
      </c>
      <c r="O292" s="90"/>
      <c r="P292" s="87"/>
      <c r="Q292" s="87" t="s">
        <v>941</v>
      </c>
      <c r="R292" s="87"/>
    </row>
    <row r="293" spans="1:18" ht="34.5" hidden="1" x14ac:dyDescent="0.35">
      <c r="A293" s="78" t="s">
        <v>958</v>
      </c>
      <c r="B293" s="107" t="s">
        <v>831</v>
      </c>
      <c r="C293" s="80" t="s">
        <v>2065</v>
      </c>
      <c r="D293" s="80" t="s">
        <v>959</v>
      </c>
      <c r="E293" s="80"/>
      <c r="F293" s="101" t="s">
        <v>1912</v>
      </c>
      <c r="G293" s="80" t="s">
        <v>960</v>
      </c>
      <c r="H293" s="80" t="s">
        <v>961</v>
      </c>
      <c r="I293" s="80"/>
      <c r="J293" s="80"/>
      <c r="K293" s="80" t="s">
        <v>302</v>
      </c>
      <c r="L293" s="102" t="s">
        <v>280</v>
      </c>
      <c r="M293" s="80" t="s">
        <v>858</v>
      </c>
      <c r="N293" s="80" t="s">
        <v>957</v>
      </c>
      <c r="O293" s="83"/>
      <c r="P293" s="80"/>
      <c r="Q293" s="80" t="s">
        <v>941</v>
      </c>
      <c r="R293" s="80"/>
    </row>
    <row r="294" spans="1:18" ht="34.5" hidden="1" x14ac:dyDescent="0.35">
      <c r="A294" s="78" t="s">
        <v>1121</v>
      </c>
      <c r="B294" s="107" t="s">
        <v>831</v>
      </c>
      <c r="C294" s="80" t="s">
        <v>2071</v>
      </c>
      <c r="D294" s="80" t="s">
        <v>1122</v>
      </c>
      <c r="E294" s="80"/>
      <c r="F294" s="101" t="s">
        <v>1912</v>
      </c>
      <c r="G294" s="80" t="s">
        <v>1123</v>
      </c>
      <c r="H294" s="80" t="s">
        <v>1124</v>
      </c>
      <c r="I294" s="80"/>
      <c r="J294" s="80"/>
      <c r="K294" s="80" t="s">
        <v>388</v>
      </c>
      <c r="L294" s="94" t="s">
        <v>61</v>
      </c>
      <c r="M294" s="80" t="s">
        <v>416</v>
      </c>
      <c r="N294" s="80" t="s">
        <v>1125</v>
      </c>
      <c r="O294" s="83"/>
      <c r="P294" s="80"/>
      <c r="Q294" s="80" t="s">
        <v>1120</v>
      </c>
      <c r="R294" s="80"/>
    </row>
    <row r="295" spans="1:18" ht="34.5" hidden="1" x14ac:dyDescent="0.35">
      <c r="A295" s="86" t="s">
        <v>1126</v>
      </c>
      <c r="B295" s="107" t="s">
        <v>831</v>
      </c>
      <c r="C295" s="87" t="s">
        <v>2071</v>
      </c>
      <c r="D295" s="87" t="s">
        <v>1127</v>
      </c>
      <c r="E295" s="87"/>
      <c r="F295" s="101" t="s">
        <v>1912</v>
      </c>
      <c r="G295" s="87" t="s">
        <v>1128</v>
      </c>
      <c r="H295" s="87" t="s">
        <v>1129</v>
      </c>
      <c r="I295" s="87"/>
      <c r="J295" s="87"/>
      <c r="K295" s="87" t="s">
        <v>388</v>
      </c>
      <c r="L295" s="94" t="s">
        <v>61</v>
      </c>
      <c r="M295" s="87" t="s">
        <v>758</v>
      </c>
      <c r="N295" s="87" t="s">
        <v>840</v>
      </c>
      <c r="O295" s="90"/>
      <c r="P295" s="87"/>
      <c r="Q295" s="87" t="s">
        <v>1120</v>
      </c>
      <c r="R295" s="87"/>
    </row>
    <row r="296" spans="1:18" ht="34.5" hidden="1" x14ac:dyDescent="0.35">
      <c r="A296" s="78" t="s">
        <v>1167</v>
      </c>
      <c r="B296" s="107" t="s">
        <v>831</v>
      </c>
      <c r="C296" s="80" t="s">
        <v>2071</v>
      </c>
      <c r="D296" s="80" t="s">
        <v>1168</v>
      </c>
      <c r="E296" s="80"/>
      <c r="F296" s="101" t="s">
        <v>1912</v>
      </c>
      <c r="G296" s="80" t="s">
        <v>1169</v>
      </c>
      <c r="H296" s="80" t="s">
        <v>1170</v>
      </c>
      <c r="I296" s="80"/>
      <c r="J296" s="80"/>
      <c r="K296" s="80" t="s">
        <v>388</v>
      </c>
      <c r="L296" s="94" t="s">
        <v>61</v>
      </c>
      <c r="M296" s="80" t="s">
        <v>1171</v>
      </c>
      <c r="N296" s="80" t="s">
        <v>974</v>
      </c>
      <c r="O296" s="83"/>
      <c r="P296" s="80"/>
      <c r="Q296" s="80" t="s">
        <v>1172</v>
      </c>
      <c r="R296" s="80"/>
    </row>
    <row r="297" spans="1:18" ht="34.5" hidden="1" x14ac:dyDescent="0.35">
      <c r="A297" s="78" t="s">
        <v>1230</v>
      </c>
      <c r="B297" s="107" t="s">
        <v>831</v>
      </c>
      <c r="C297" s="80" t="s">
        <v>2071</v>
      </c>
      <c r="D297" s="80" t="s">
        <v>1231</v>
      </c>
      <c r="E297" s="80"/>
      <c r="F297" s="96" t="s">
        <v>93</v>
      </c>
      <c r="G297" s="80" t="s">
        <v>1232</v>
      </c>
      <c r="H297" s="80" t="s">
        <v>1233</v>
      </c>
      <c r="I297" s="80"/>
      <c r="J297" s="80"/>
      <c r="K297" s="80" t="s">
        <v>1234</v>
      </c>
      <c r="L297" s="94" t="s">
        <v>61</v>
      </c>
      <c r="M297" s="80" t="s">
        <v>1235</v>
      </c>
      <c r="N297" s="80" t="s">
        <v>1236</v>
      </c>
      <c r="O297" s="83"/>
      <c r="P297" s="80"/>
      <c r="Q297" s="80" t="s">
        <v>1237</v>
      </c>
      <c r="R297" s="80" t="s">
        <v>1238</v>
      </c>
    </row>
    <row r="298" spans="1:18" ht="34.5" hidden="1" x14ac:dyDescent="0.35">
      <c r="A298" s="86" t="s">
        <v>1245</v>
      </c>
      <c r="B298" s="107" t="s">
        <v>831</v>
      </c>
      <c r="C298" s="87" t="s">
        <v>2071</v>
      </c>
      <c r="D298" s="87"/>
      <c r="E298" s="87"/>
      <c r="F298" s="101" t="s">
        <v>1912</v>
      </c>
      <c r="G298" s="87" t="s">
        <v>1246</v>
      </c>
      <c r="H298" s="87" t="s">
        <v>1247</v>
      </c>
      <c r="I298" s="87"/>
      <c r="J298" s="87"/>
      <c r="K298" s="87" t="s">
        <v>388</v>
      </c>
      <c r="L298" s="94" t="s">
        <v>61</v>
      </c>
      <c r="M298" s="87" t="s">
        <v>1248</v>
      </c>
      <c r="N298" s="87" t="s">
        <v>1249</v>
      </c>
      <c r="O298" s="90"/>
      <c r="P298" s="87"/>
      <c r="Q298" s="87" t="s">
        <v>787</v>
      </c>
      <c r="R298" s="87"/>
    </row>
    <row r="299" spans="1:18" ht="34.5" hidden="1" x14ac:dyDescent="0.35">
      <c r="A299" s="78" t="s">
        <v>1250</v>
      </c>
      <c r="B299" s="107" t="s">
        <v>831</v>
      </c>
      <c r="C299" s="80" t="s">
        <v>2071</v>
      </c>
      <c r="D299" s="80"/>
      <c r="E299" s="80"/>
      <c r="F299" s="101" t="s">
        <v>1912</v>
      </c>
      <c r="G299" s="80" t="s">
        <v>1246</v>
      </c>
      <c r="H299" s="80" t="s">
        <v>1247</v>
      </c>
      <c r="I299" s="80"/>
      <c r="J299" s="80"/>
      <c r="K299" s="80" t="s">
        <v>388</v>
      </c>
      <c r="L299" s="94" t="s">
        <v>61</v>
      </c>
      <c r="M299" s="80" t="s">
        <v>1248</v>
      </c>
      <c r="N299" s="80" t="s">
        <v>1249</v>
      </c>
      <c r="O299" s="83"/>
      <c r="P299" s="80"/>
      <c r="Q299" s="80" t="s">
        <v>800</v>
      </c>
      <c r="R299" s="80"/>
    </row>
    <row r="300" spans="1:18" ht="34.5" hidden="1" x14ac:dyDescent="0.35">
      <c r="A300" s="86" t="s">
        <v>859</v>
      </c>
      <c r="B300" s="107" t="s">
        <v>831</v>
      </c>
      <c r="C300" s="87" t="s">
        <v>2071</v>
      </c>
      <c r="D300" s="87"/>
      <c r="E300" s="87"/>
      <c r="F300" s="101" t="s">
        <v>1912</v>
      </c>
      <c r="G300" s="87" t="s">
        <v>860</v>
      </c>
      <c r="H300" s="87" t="s">
        <v>861</v>
      </c>
      <c r="I300" s="87"/>
      <c r="J300" s="87"/>
      <c r="K300" s="87" t="s">
        <v>388</v>
      </c>
      <c r="L300" s="94" t="s">
        <v>61</v>
      </c>
      <c r="M300" s="87" t="s">
        <v>416</v>
      </c>
      <c r="N300" s="87" t="s">
        <v>862</v>
      </c>
      <c r="O300" s="90"/>
      <c r="P300" s="87"/>
      <c r="Q300" s="87" t="s">
        <v>841</v>
      </c>
      <c r="R300" s="87"/>
    </row>
    <row r="301" spans="1:18" ht="34.5" hidden="1" x14ac:dyDescent="0.35">
      <c r="A301" s="78" t="s">
        <v>863</v>
      </c>
      <c r="B301" s="107" t="s">
        <v>831</v>
      </c>
      <c r="C301" s="80" t="s">
        <v>2071</v>
      </c>
      <c r="D301" s="80"/>
      <c r="E301" s="80"/>
      <c r="F301" s="101" t="s">
        <v>1912</v>
      </c>
      <c r="G301" s="80" t="s">
        <v>860</v>
      </c>
      <c r="H301" s="80" t="s">
        <v>864</v>
      </c>
      <c r="I301" s="80"/>
      <c r="J301" s="80"/>
      <c r="K301" s="80" t="s">
        <v>388</v>
      </c>
      <c r="L301" s="94" t="s">
        <v>61</v>
      </c>
      <c r="M301" s="80" t="s">
        <v>416</v>
      </c>
      <c r="N301" s="80" t="s">
        <v>862</v>
      </c>
      <c r="O301" s="83"/>
      <c r="P301" s="80"/>
      <c r="Q301" s="80" t="s">
        <v>841</v>
      </c>
      <c r="R301" s="80"/>
    </row>
    <row r="302" spans="1:18" hidden="1" x14ac:dyDescent="0.35">
      <c r="A302" s="112" t="s">
        <v>2072</v>
      </c>
      <c r="B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spans="1:18" ht="23" hidden="1" x14ac:dyDescent="0.35">
      <c r="A303" s="86" t="s">
        <v>1355</v>
      </c>
      <c r="B303" s="113" t="s">
        <v>1274</v>
      </c>
      <c r="C303" s="87" t="s">
        <v>2073</v>
      </c>
      <c r="D303" s="87" t="s">
        <v>1356</v>
      </c>
      <c r="E303" s="87" t="s">
        <v>1357</v>
      </c>
      <c r="F303" s="88" t="s">
        <v>21</v>
      </c>
      <c r="G303" s="87" t="s">
        <v>2074</v>
      </c>
      <c r="H303" s="87" t="s">
        <v>2074</v>
      </c>
      <c r="I303" s="87" t="s">
        <v>1896</v>
      </c>
      <c r="J303" s="87" t="s">
        <v>1858</v>
      </c>
      <c r="K303" s="87" t="s">
        <v>272</v>
      </c>
      <c r="L303" s="99" t="s">
        <v>273</v>
      </c>
      <c r="M303" s="87"/>
      <c r="N303" s="87" t="s">
        <v>21</v>
      </c>
      <c r="O303" s="90"/>
      <c r="P303" s="87"/>
      <c r="Q303" s="87" t="s">
        <v>24</v>
      </c>
      <c r="R303" s="87"/>
    </row>
    <row r="304" spans="1:18" ht="23" hidden="1" x14ac:dyDescent="0.35">
      <c r="A304" s="86" t="s">
        <v>1420</v>
      </c>
      <c r="B304" s="113" t="s">
        <v>1274</v>
      </c>
      <c r="C304" s="87" t="s">
        <v>2073</v>
      </c>
      <c r="D304" s="87" t="s">
        <v>1421</v>
      </c>
      <c r="E304" s="87"/>
      <c r="F304" s="109" t="s">
        <v>1019</v>
      </c>
      <c r="G304" s="87" t="s">
        <v>2075</v>
      </c>
      <c r="H304" s="87"/>
      <c r="I304" s="87" t="s">
        <v>1422</v>
      </c>
      <c r="J304" s="87" t="s">
        <v>1831</v>
      </c>
      <c r="K304" s="87" t="s">
        <v>78</v>
      </c>
      <c r="L304" s="85" t="s">
        <v>79</v>
      </c>
      <c r="M304" s="87" t="s">
        <v>397</v>
      </c>
      <c r="N304" s="87" t="s">
        <v>1019</v>
      </c>
      <c r="O304" s="90" t="s">
        <v>1829</v>
      </c>
      <c r="P304" s="87" t="s">
        <v>414</v>
      </c>
      <c r="Q304" s="87" t="s">
        <v>39</v>
      </c>
      <c r="R304" s="87" t="s">
        <v>415</v>
      </c>
    </row>
    <row r="305" spans="1:18" ht="23" hidden="1" x14ac:dyDescent="0.35">
      <c r="A305" s="86" t="s">
        <v>1358</v>
      </c>
      <c r="B305" s="113" t="s">
        <v>1274</v>
      </c>
      <c r="C305" s="87" t="s">
        <v>2073</v>
      </c>
      <c r="D305" s="87" t="s">
        <v>1359</v>
      </c>
      <c r="E305" s="87" t="s">
        <v>1360</v>
      </c>
      <c r="F305" s="88" t="s">
        <v>21</v>
      </c>
      <c r="G305" s="87" t="s">
        <v>2076</v>
      </c>
      <c r="H305" s="87" t="s">
        <v>2076</v>
      </c>
      <c r="I305" s="87" t="s">
        <v>186</v>
      </c>
      <c r="J305" s="87" t="s">
        <v>1834</v>
      </c>
      <c r="K305" s="87" t="s">
        <v>187</v>
      </c>
      <c r="L305" s="82" t="s">
        <v>30</v>
      </c>
      <c r="M305" s="87"/>
      <c r="N305" s="87" t="s">
        <v>21</v>
      </c>
      <c r="O305" s="90"/>
      <c r="P305" s="87"/>
      <c r="Q305" s="87" t="s">
        <v>24</v>
      </c>
      <c r="R305" s="87"/>
    </row>
    <row r="306" spans="1:18" ht="23" x14ac:dyDescent="0.35">
      <c r="A306" s="86" t="s">
        <v>1426</v>
      </c>
      <c r="B306" s="113" t="s">
        <v>1274</v>
      </c>
      <c r="C306" s="87" t="s">
        <v>2073</v>
      </c>
      <c r="D306" s="87" t="s">
        <v>1427</v>
      </c>
      <c r="E306" s="87"/>
      <c r="F306" s="110" t="s">
        <v>874</v>
      </c>
      <c r="G306" s="87" t="s">
        <v>2077</v>
      </c>
      <c r="H306" s="87"/>
      <c r="I306" s="87" t="s">
        <v>2078</v>
      </c>
      <c r="J306" s="87" t="s">
        <v>1906</v>
      </c>
      <c r="K306" s="87" t="s">
        <v>78</v>
      </c>
      <c r="L306" s="85" t="s">
        <v>79</v>
      </c>
      <c r="M306" s="87" t="s">
        <v>397</v>
      </c>
      <c r="N306" s="87" t="s">
        <v>874</v>
      </c>
      <c r="O306" s="90" t="s">
        <v>1829</v>
      </c>
      <c r="P306" s="87"/>
      <c r="Q306" s="87" t="s">
        <v>39</v>
      </c>
      <c r="R306" s="87" t="s">
        <v>472</v>
      </c>
    </row>
    <row r="307" spans="1:18" ht="23" hidden="1" x14ac:dyDescent="0.35">
      <c r="A307" s="78" t="s">
        <v>1361</v>
      </c>
      <c r="B307" s="113" t="s">
        <v>1274</v>
      </c>
      <c r="C307" s="80" t="s">
        <v>2073</v>
      </c>
      <c r="D307" s="80" t="s">
        <v>1362</v>
      </c>
      <c r="E307" s="80" t="s">
        <v>1363</v>
      </c>
      <c r="F307" s="88" t="s">
        <v>21</v>
      </c>
      <c r="G307" s="80" t="s">
        <v>2079</v>
      </c>
      <c r="H307" s="80"/>
      <c r="I307" s="80" t="s">
        <v>199</v>
      </c>
      <c r="J307" s="80" t="s">
        <v>1834</v>
      </c>
      <c r="K307" s="80"/>
      <c r="L307" s="89" t="s">
        <v>23</v>
      </c>
      <c r="M307" s="80" t="s">
        <v>397</v>
      </c>
      <c r="N307" s="80" t="s">
        <v>21</v>
      </c>
      <c r="O307" s="83"/>
      <c r="P307" s="80"/>
      <c r="Q307" s="80" t="s">
        <v>24</v>
      </c>
      <c r="R307" s="80"/>
    </row>
    <row r="308" spans="1:18" ht="23" hidden="1" x14ac:dyDescent="0.35">
      <c r="A308" s="78" t="s">
        <v>1428</v>
      </c>
      <c r="B308" s="113" t="s">
        <v>1274</v>
      </c>
      <c r="C308" s="80" t="s">
        <v>2073</v>
      </c>
      <c r="D308" s="80" t="s">
        <v>1429</v>
      </c>
      <c r="E308" s="80" t="s">
        <v>1430</v>
      </c>
      <c r="F308" s="88" t="s">
        <v>21</v>
      </c>
      <c r="G308" s="80" t="s">
        <v>2080</v>
      </c>
      <c r="H308" s="80" t="s">
        <v>2080</v>
      </c>
      <c r="I308" s="80" t="s">
        <v>729</v>
      </c>
      <c r="J308" s="80" t="s">
        <v>1858</v>
      </c>
      <c r="K308" s="80" t="s">
        <v>155</v>
      </c>
      <c r="L308" s="82" t="s">
        <v>30</v>
      </c>
      <c r="M308" s="80"/>
      <c r="N308" s="80" t="s">
        <v>21</v>
      </c>
      <c r="O308" s="83"/>
      <c r="P308" s="80"/>
      <c r="Q308" s="80" t="s">
        <v>24</v>
      </c>
      <c r="R308" s="80"/>
    </row>
    <row r="309" spans="1:18" ht="23" hidden="1" x14ac:dyDescent="0.35">
      <c r="A309" s="86" t="s">
        <v>1364</v>
      </c>
      <c r="B309" s="113" t="s">
        <v>1274</v>
      </c>
      <c r="C309" s="87" t="s">
        <v>2073</v>
      </c>
      <c r="D309" s="87" t="s">
        <v>1365</v>
      </c>
      <c r="E309" s="87" t="s">
        <v>1366</v>
      </c>
      <c r="F309" s="88" t="s">
        <v>21</v>
      </c>
      <c r="G309" s="87" t="s">
        <v>2081</v>
      </c>
      <c r="H309" s="87" t="s">
        <v>2081</v>
      </c>
      <c r="I309" s="87" t="s">
        <v>1087</v>
      </c>
      <c r="J309" s="87" t="s">
        <v>1864</v>
      </c>
      <c r="K309" s="87" t="s">
        <v>203</v>
      </c>
      <c r="L309" s="82" t="s">
        <v>30</v>
      </c>
      <c r="M309" s="87"/>
      <c r="N309" s="87" t="s">
        <v>21</v>
      </c>
      <c r="O309" s="90"/>
      <c r="P309" s="87"/>
      <c r="Q309" s="87" t="s">
        <v>24</v>
      </c>
      <c r="R309" s="87"/>
    </row>
    <row r="310" spans="1:18" ht="34.5" hidden="1" x14ac:dyDescent="0.35">
      <c r="A310" s="86" t="s">
        <v>1397</v>
      </c>
      <c r="B310" s="113" t="s">
        <v>1274</v>
      </c>
      <c r="C310" s="87" t="s">
        <v>2073</v>
      </c>
      <c r="D310" s="87" t="s">
        <v>1398</v>
      </c>
      <c r="E310" s="87"/>
      <c r="F310" s="110" t="s">
        <v>874</v>
      </c>
      <c r="G310" s="87" t="s">
        <v>2082</v>
      </c>
      <c r="H310" s="87"/>
      <c r="I310" s="87" t="s">
        <v>1399</v>
      </c>
      <c r="J310" s="87" t="s">
        <v>1831</v>
      </c>
      <c r="K310" s="87" t="s">
        <v>78</v>
      </c>
      <c r="L310" s="85" t="s">
        <v>79</v>
      </c>
      <c r="M310" s="87" t="s">
        <v>397</v>
      </c>
      <c r="N310" s="87" t="s">
        <v>874</v>
      </c>
      <c r="O310" s="90" t="s">
        <v>1829</v>
      </c>
      <c r="P310" s="87" t="s">
        <v>414</v>
      </c>
      <c r="Q310" s="87" t="s">
        <v>39</v>
      </c>
      <c r="R310" s="87" t="s">
        <v>472</v>
      </c>
    </row>
    <row r="311" spans="1:18" ht="23" x14ac:dyDescent="0.35">
      <c r="A311" s="78" t="s">
        <v>1434</v>
      </c>
      <c r="B311" s="113" t="s">
        <v>1274</v>
      </c>
      <c r="C311" s="80" t="s">
        <v>2073</v>
      </c>
      <c r="D311" s="80" t="s">
        <v>1435</v>
      </c>
      <c r="E311" s="80"/>
      <c r="F311" s="110" t="s">
        <v>874</v>
      </c>
      <c r="G311" s="80" t="s">
        <v>2083</v>
      </c>
      <c r="H311" s="80"/>
      <c r="I311" s="80" t="s">
        <v>1436</v>
      </c>
      <c r="J311" s="80" t="s">
        <v>1906</v>
      </c>
      <c r="K311" s="80" t="s">
        <v>78</v>
      </c>
      <c r="L311" s="85" t="s">
        <v>79</v>
      </c>
      <c r="M311" s="80" t="s">
        <v>397</v>
      </c>
      <c r="N311" s="80" t="s">
        <v>874</v>
      </c>
      <c r="O311" s="83" t="s">
        <v>1829</v>
      </c>
      <c r="P311" s="80" t="s">
        <v>414</v>
      </c>
      <c r="Q311" s="80" t="s">
        <v>39</v>
      </c>
      <c r="R311" s="80" t="s">
        <v>472</v>
      </c>
    </row>
    <row r="312" spans="1:18" ht="23" hidden="1" x14ac:dyDescent="0.35">
      <c r="A312" s="78" t="s">
        <v>1367</v>
      </c>
      <c r="B312" s="113" t="s">
        <v>1274</v>
      </c>
      <c r="C312" s="80" t="s">
        <v>2073</v>
      </c>
      <c r="D312" s="80" t="s">
        <v>1368</v>
      </c>
      <c r="E312" s="80" t="s">
        <v>1369</v>
      </c>
      <c r="F312" s="88" t="s">
        <v>21</v>
      </c>
      <c r="G312" s="80" t="s">
        <v>2084</v>
      </c>
      <c r="H312" s="80"/>
      <c r="I312" s="80" t="s">
        <v>2085</v>
      </c>
      <c r="J312" s="80" t="s">
        <v>1867</v>
      </c>
      <c r="K312" s="80"/>
      <c r="L312" s="89" t="s">
        <v>23</v>
      </c>
      <c r="M312" s="80" t="s">
        <v>397</v>
      </c>
      <c r="N312" s="80" t="s">
        <v>1370</v>
      </c>
      <c r="O312" s="83"/>
      <c r="P312" s="80"/>
      <c r="Q312" s="80" t="s">
        <v>24</v>
      </c>
      <c r="R312" s="80"/>
    </row>
    <row r="313" spans="1:18" ht="34.5" hidden="1" x14ac:dyDescent="0.35">
      <c r="A313" s="86" t="s">
        <v>1437</v>
      </c>
      <c r="B313" s="113" t="s">
        <v>1274</v>
      </c>
      <c r="C313" s="87" t="s">
        <v>2073</v>
      </c>
      <c r="D313" s="87" t="s">
        <v>1438</v>
      </c>
      <c r="E313" s="87" t="s">
        <v>1439</v>
      </c>
      <c r="F313" s="88" t="s">
        <v>21</v>
      </c>
      <c r="G313" s="87" t="s">
        <v>2086</v>
      </c>
      <c r="H313" s="87"/>
      <c r="I313" s="87" t="s">
        <v>1869</v>
      </c>
      <c r="J313" s="87" t="s">
        <v>1867</v>
      </c>
      <c r="K313" s="87"/>
      <c r="L313" s="89" t="s">
        <v>23</v>
      </c>
      <c r="M313" s="87" t="s">
        <v>397</v>
      </c>
      <c r="N313" s="87" t="s">
        <v>21</v>
      </c>
      <c r="O313" s="90"/>
      <c r="P313" s="87"/>
      <c r="Q313" s="87" t="s">
        <v>24</v>
      </c>
      <c r="R313" s="87"/>
    </row>
    <row r="314" spans="1:18" ht="34.5" hidden="1" x14ac:dyDescent="0.35">
      <c r="A314" s="78" t="s">
        <v>1400</v>
      </c>
      <c r="B314" s="113" t="s">
        <v>1274</v>
      </c>
      <c r="C314" s="80" t="s">
        <v>2073</v>
      </c>
      <c r="D314" s="80" t="s">
        <v>1401</v>
      </c>
      <c r="E314" s="80"/>
      <c r="F314" s="110" t="s">
        <v>874</v>
      </c>
      <c r="G314" s="80" t="s">
        <v>1402</v>
      </c>
      <c r="H314" s="80"/>
      <c r="I314" s="80" t="s">
        <v>2087</v>
      </c>
      <c r="J314" s="80" t="s">
        <v>1867</v>
      </c>
      <c r="K314" s="80" t="s">
        <v>78</v>
      </c>
      <c r="L314" s="85" t="s">
        <v>79</v>
      </c>
      <c r="M314" s="80" t="s">
        <v>397</v>
      </c>
      <c r="N314" s="80" t="s">
        <v>874</v>
      </c>
      <c r="O314" s="83" t="s">
        <v>1829</v>
      </c>
      <c r="P314" s="80" t="s">
        <v>173</v>
      </c>
      <c r="Q314" s="80" t="s">
        <v>39</v>
      </c>
      <c r="R314" s="80" t="s">
        <v>1403</v>
      </c>
    </row>
    <row r="315" spans="1:18" ht="23" hidden="1" x14ac:dyDescent="0.35">
      <c r="A315" s="86" t="s">
        <v>1371</v>
      </c>
      <c r="B315" s="113" t="s">
        <v>1274</v>
      </c>
      <c r="C315" s="87" t="s">
        <v>2073</v>
      </c>
      <c r="D315" s="87" t="s">
        <v>1372</v>
      </c>
      <c r="E315" s="87" t="s">
        <v>1373</v>
      </c>
      <c r="F315" s="88" t="s">
        <v>21</v>
      </c>
      <c r="G315" s="87" t="s">
        <v>2088</v>
      </c>
      <c r="H315" s="87" t="s">
        <v>2089</v>
      </c>
      <c r="I315" s="87" t="s">
        <v>1374</v>
      </c>
      <c r="J315" s="87" t="s">
        <v>1864</v>
      </c>
      <c r="K315" s="87" t="s">
        <v>1998</v>
      </c>
      <c r="L315" s="108" t="s">
        <v>1048</v>
      </c>
      <c r="M315" s="87"/>
      <c r="N315" s="87" t="s">
        <v>21</v>
      </c>
      <c r="O315" s="90"/>
      <c r="P315" s="87"/>
      <c r="Q315" s="87" t="s">
        <v>24</v>
      </c>
      <c r="R315" s="87"/>
    </row>
    <row r="316" spans="1:18" ht="23" hidden="1" x14ac:dyDescent="0.35">
      <c r="A316" s="78" t="s">
        <v>1446</v>
      </c>
      <c r="B316" s="113" t="s">
        <v>1274</v>
      </c>
      <c r="C316" s="80" t="s">
        <v>2090</v>
      </c>
      <c r="D316" s="80" t="s">
        <v>1447</v>
      </c>
      <c r="E316" s="80"/>
      <c r="F316" s="105" t="s">
        <v>413</v>
      </c>
      <c r="G316" s="80" t="s">
        <v>2091</v>
      </c>
      <c r="H316" s="80"/>
      <c r="I316" s="80" t="s">
        <v>1448</v>
      </c>
      <c r="J316" s="80" t="s">
        <v>1835</v>
      </c>
      <c r="K316" s="80" t="s">
        <v>78</v>
      </c>
      <c r="L316" s="85" t="s">
        <v>79</v>
      </c>
      <c r="M316" s="80" t="s">
        <v>397</v>
      </c>
      <c r="N316" s="80" t="s">
        <v>413</v>
      </c>
      <c r="O316" s="83" t="s">
        <v>1829</v>
      </c>
      <c r="P316" s="80" t="s">
        <v>108</v>
      </c>
      <c r="Q316" s="80" t="s">
        <v>39</v>
      </c>
      <c r="R316" s="80" t="s">
        <v>1449</v>
      </c>
    </row>
    <row r="317" spans="1:18" ht="23" hidden="1" x14ac:dyDescent="0.35">
      <c r="A317" s="86" t="s">
        <v>1417</v>
      </c>
      <c r="B317" s="113" t="s">
        <v>1274</v>
      </c>
      <c r="C317" s="87" t="s">
        <v>2090</v>
      </c>
      <c r="D317" s="87" t="s">
        <v>1418</v>
      </c>
      <c r="E317" s="87"/>
      <c r="F317" s="110" t="s">
        <v>874</v>
      </c>
      <c r="G317" s="87" t="s">
        <v>1419</v>
      </c>
      <c r="H317" s="87"/>
      <c r="I317" s="87" t="s">
        <v>2092</v>
      </c>
      <c r="J317" s="87" t="s">
        <v>1837</v>
      </c>
      <c r="K317" s="87" t="s">
        <v>106</v>
      </c>
      <c r="L317" s="92" t="s">
        <v>107</v>
      </c>
      <c r="M317" s="87" t="s">
        <v>397</v>
      </c>
      <c r="N317" s="87" t="s">
        <v>874</v>
      </c>
      <c r="O317" s="90" t="s">
        <v>1829</v>
      </c>
      <c r="P317" s="87"/>
      <c r="Q317" s="87" t="s">
        <v>39</v>
      </c>
      <c r="R317" s="87" t="s">
        <v>182</v>
      </c>
    </row>
    <row r="318" spans="1:18" ht="23" hidden="1" x14ac:dyDescent="0.35">
      <c r="A318" s="86" t="s">
        <v>1375</v>
      </c>
      <c r="B318" s="113" t="s">
        <v>1274</v>
      </c>
      <c r="C318" s="87" t="s">
        <v>2093</v>
      </c>
      <c r="D318" s="87" t="s">
        <v>1376</v>
      </c>
      <c r="E318" s="87" t="s">
        <v>267</v>
      </c>
      <c r="F318" s="88" t="s">
        <v>21</v>
      </c>
      <c r="G318" s="87" t="s">
        <v>1377</v>
      </c>
      <c r="H318" s="87" t="s">
        <v>2094</v>
      </c>
      <c r="I318" s="87" t="s">
        <v>268</v>
      </c>
      <c r="J318" s="87" t="s">
        <v>1858</v>
      </c>
      <c r="K318" s="87" t="s">
        <v>1378</v>
      </c>
      <c r="L318" s="82" t="s">
        <v>30</v>
      </c>
      <c r="M318" s="87" t="s">
        <v>94</v>
      </c>
      <c r="N318" s="87" t="s">
        <v>21</v>
      </c>
      <c r="O318" s="90"/>
      <c r="P318" s="87"/>
      <c r="Q318" s="87" t="s">
        <v>24</v>
      </c>
      <c r="R318" s="87"/>
    </row>
    <row r="319" spans="1:18" ht="23" hidden="1" x14ac:dyDescent="0.35">
      <c r="A319" s="78" t="s">
        <v>1379</v>
      </c>
      <c r="B319" s="113" t="s">
        <v>1274</v>
      </c>
      <c r="C319" s="80" t="s">
        <v>2093</v>
      </c>
      <c r="D319" s="80" t="s">
        <v>1380</v>
      </c>
      <c r="E319" s="80"/>
      <c r="F319" s="110" t="s">
        <v>874</v>
      </c>
      <c r="G319" s="80" t="s">
        <v>1381</v>
      </c>
      <c r="H319" s="80"/>
      <c r="I319" s="80" t="s">
        <v>1382</v>
      </c>
      <c r="J319" s="80" t="s">
        <v>1837</v>
      </c>
      <c r="K319" s="80" t="s">
        <v>78</v>
      </c>
      <c r="L319" s="85" t="s">
        <v>79</v>
      </c>
      <c r="M319" s="80" t="s">
        <v>397</v>
      </c>
      <c r="N319" s="80" t="s">
        <v>874</v>
      </c>
      <c r="O319" s="83" t="s">
        <v>1829</v>
      </c>
      <c r="P319" s="80"/>
      <c r="Q319" s="80" t="s">
        <v>39</v>
      </c>
      <c r="R319" s="80" t="s">
        <v>1383</v>
      </c>
    </row>
    <row r="320" spans="1:18" ht="23" hidden="1" x14ac:dyDescent="0.35">
      <c r="A320" s="78" t="s">
        <v>1384</v>
      </c>
      <c r="B320" s="113" t="s">
        <v>1274</v>
      </c>
      <c r="C320" s="80" t="s">
        <v>2093</v>
      </c>
      <c r="D320" s="80" t="s">
        <v>1385</v>
      </c>
      <c r="E320" s="80" t="s">
        <v>1386</v>
      </c>
      <c r="F320" s="88" t="s">
        <v>21</v>
      </c>
      <c r="G320" s="80" t="s">
        <v>2095</v>
      </c>
      <c r="H320" s="80" t="s">
        <v>2095</v>
      </c>
      <c r="I320" s="80" t="s">
        <v>1387</v>
      </c>
      <c r="J320" s="80" t="s">
        <v>1858</v>
      </c>
      <c r="K320" s="80" t="s">
        <v>155</v>
      </c>
      <c r="L320" s="82" t="s">
        <v>30</v>
      </c>
      <c r="M320" s="80"/>
      <c r="N320" s="80" t="s">
        <v>21</v>
      </c>
      <c r="O320" s="83"/>
      <c r="P320" s="80"/>
      <c r="Q320" s="80" t="s">
        <v>24</v>
      </c>
      <c r="R320" s="80"/>
    </row>
    <row r="321" spans="1:18" ht="23" hidden="1" x14ac:dyDescent="0.35">
      <c r="A321" s="86" t="s">
        <v>1388</v>
      </c>
      <c r="B321" s="113" t="s">
        <v>1274</v>
      </c>
      <c r="C321" s="87" t="s">
        <v>2093</v>
      </c>
      <c r="D321" s="87" t="s">
        <v>1389</v>
      </c>
      <c r="E321" s="87" t="s">
        <v>1390</v>
      </c>
      <c r="F321" s="88" t="s">
        <v>21</v>
      </c>
      <c r="G321" s="87" t="s">
        <v>2096</v>
      </c>
      <c r="H321" s="87"/>
      <c r="I321" s="87" t="s">
        <v>116</v>
      </c>
      <c r="J321" s="87" t="s">
        <v>1854</v>
      </c>
      <c r="K321" s="87"/>
      <c r="L321" s="89" t="s">
        <v>23</v>
      </c>
      <c r="M321" s="87" t="s">
        <v>397</v>
      </c>
      <c r="N321" s="87" t="s">
        <v>21</v>
      </c>
      <c r="O321" s="90"/>
      <c r="P321" s="87"/>
      <c r="Q321" s="87" t="s">
        <v>24</v>
      </c>
      <c r="R321" s="87"/>
    </row>
    <row r="322" spans="1:18" ht="34.5" hidden="1" x14ac:dyDescent="0.35">
      <c r="A322" s="86" t="s">
        <v>1391</v>
      </c>
      <c r="B322" s="113" t="s">
        <v>1274</v>
      </c>
      <c r="C322" s="87" t="s">
        <v>2093</v>
      </c>
      <c r="D322" s="87" t="s">
        <v>1392</v>
      </c>
      <c r="E322" s="87" t="s">
        <v>1393</v>
      </c>
      <c r="F322" s="88" t="s">
        <v>21</v>
      </c>
      <c r="G322" s="87" t="s">
        <v>2097</v>
      </c>
      <c r="H322" s="87"/>
      <c r="I322" s="87" t="s">
        <v>149</v>
      </c>
      <c r="J322" s="87" t="s">
        <v>1841</v>
      </c>
      <c r="K322" s="87" t="s">
        <v>150</v>
      </c>
      <c r="L322" s="82" t="s">
        <v>30</v>
      </c>
      <c r="M322" s="87"/>
      <c r="N322" s="87" t="s">
        <v>21</v>
      </c>
      <c r="O322" s="90"/>
      <c r="P322" s="87"/>
      <c r="Q322" s="87" t="s">
        <v>24</v>
      </c>
      <c r="R322" s="87"/>
    </row>
    <row r="323" spans="1:18" ht="23" hidden="1" x14ac:dyDescent="0.35">
      <c r="A323" s="86" t="s">
        <v>1404</v>
      </c>
      <c r="B323" s="113" t="s">
        <v>1274</v>
      </c>
      <c r="C323" s="87" t="s">
        <v>2093</v>
      </c>
      <c r="D323" s="87" t="s">
        <v>1405</v>
      </c>
      <c r="E323" s="87" t="s">
        <v>1406</v>
      </c>
      <c r="F323" s="88" t="s">
        <v>21</v>
      </c>
      <c r="G323" s="87" t="s">
        <v>2098</v>
      </c>
      <c r="H323" s="87"/>
      <c r="I323" s="87" t="s">
        <v>463</v>
      </c>
      <c r="J323" s="87" t="s">
        <v>1848</v>
      </c>
      <c r="K323" s="87" t="s">
        <v>1407</v>
      </c>
      <c r="L323" s="82" t="s">
        <v>30</v>
      </c>
      <c r="M323" s="87"/>
      <c r="N323" s="87" t="s">
        <v>21</v>
      </c>
      <c r="O323" s="90"/>
      <c r="P323" s="87"/>
      <c r="Q323" s="87" t="s">
        <v>24</v>
      </c>
      <c r="R323" s="87"/>
    </row>
    <row r="324" spans="1:18" ht="23" hidden="1" x14ac:dyDescent="0.35">
      <c r="A324" s="78" t="s">
        <v>1408</v>
      </c>
      <c r="B324" s="113" t="s">
        <v>1274</v>
      </c>
      <c r="C324" s="80" t="s">
        <v>2093</v>
      </c>
      <c r="D324" s="80" t="s">
        <v>1409</v>
      </c>
      <c r="E324" s="80" t="s">
        <v>1410</v>
      </c>
      <c r="F324" s="88" t="s">
        <v>21</v>
      </c>
      <c r="G324" s="80" t="s">
        <v>2099</v>
      </c>
      <c r="H324" s="80" t="s">
        <v>2099</v>
      </c>
      <c r="I324" s="80" t="s">
        <v>1411</v>
      </c>
      <c r="J324" s="80" t="s">
        <v>1846</v>
      </c>
      <c r="K324" s="80" t="s">
        <v>220</v>
      </c>
      <c r="L324" s="82" t="s">
        <v>30</v>
      </c>
      <c r="M324" s="80"/>
      <c r="N324" s="80" t="s">
        <v>21</v>
      </c>
      <c r="O324" s="83"/>
      <c r="P324" s="80"/>
      <c r="Q324" s="80" t="s">
        <v>24</v>
      </c>
      <c r="R324" s="80"/>
    </row>
    <row r="325" spans="1:18" ht="34.5" hidden="1" x14ac:dyDescent="0.35">
      <c r="A325" s="78" t="s">
        <v>1412</v>
      </c>
      <c r="B325" s="113" t="s">
        <v>1274</v>
      </c>
      <c r="C325" s="80" t="s">
        <v>2100</v>
      </c>
      <c r="D325" s="80" t="s">
        <v>1413</v>
      </c>
      <c r="E325" s="80" t="s">
        <v>1414</v>
      </c>
      <c r="F325" s="88" t="s">
        <v>21</v>
      </c>
      <c r="G325" s="80" t="s">
        <v>2101</v>
      </c>
      <c r="H325" s="80"/>
      <c r="I325" s="80" t="s">
        <v>1415</v>
      </c>
      <c r="J325" s="80" t="s">
        <v>1867</v>
      </c>
      <c r="K325" s="80"/>
      <c r="L325" s="89" t="s">
        <v>23</v>
      </c>
      <c r="M325" s="80" t="s">
        <v>397</v>
      </c>
      <c r="N325" s="80" t="s">
        <v>1416</v>
      </c>
      <c r="O325" s="83"/>
      <c r="P325" s="80"/>
      <c r="Q325" s="80" t="s">
        <v>24</v>
      </c>
      <c r="R325" s="80"/>
    </row>
    <row r="326" spans="1:18" ht="23" hidden="1" x14ac:dyDescent="0.35">
      <c r="A326" s="78" t="s">
        <v>1394</v>
      </c>
      <c r="B326" s="113" t="s">
        <v>1274</v>
      </c>
      <c r="C326" s="80" t="s">
        <v>2100</v>
      </c>
      <c r="D326" s="80" t="s">
        <v>1395</v>
      </c>
      <c r="E326" s="80" t="s">
        <v>1396</v>
      </c>
      <c r="F326" s="88" t="s">
        <v>21</v>
      </c>
      <c r="G326" s="80" t="s">
        <v>2102</v>
      </c>
      <c r="H326" s="80" t="s">
        <v>2103</v>
      </c>
      <c r="I326" s="80" t="s">
        <v>444</v>
      </c>
      <c r="J326" s="80" t="s">
        <v>1874</v>
      </c>
      <c r="K326" s="80" t="s">
        <v>445</v>
      </c>
      <c r="L326" s="82" t="s">
        <v>30</v>
      </c>
      <c r="M326" s="80"/>
      <c r="N326" s="80" t="s">
        <v>21</v>
      </c>
      <c r="O326" s="83"/>
      <c r="P326" s="80"/>
      <c r="Q326" s="80" t="s">
        <v>24</v>
      </c>
      <c r="R326" s="80"/>
    </row>
    <row r="327" spans="1:18" ht="23" hidden="1" x14ac:dyDescent="0.35">
      <c r="A327" s="78" t="s">
        <v>1431</v>
      </c>
      <c r="B327" s="113" t="s">
        <v>1274</v>
      </c>
      <c r="C327" s="80" t="s">
        <v>2100</v>
      </c>
      <c r="D327" s="80" t="s">
        <v>1432</v>
      </c>
      <c r="E327" s="80"/>
      <c r="F327" s="96" t="s">
        <v>93</v>
      </c>
      <c r="G327" s="80" t="s">
        <v>2104</v>
      </c>
      <c r="H327" s="80"/>
      <c r="I327" s="80"/>
      <c r="J327" s="80"/>
      <c r="K327" s="80" t="s">
        <v>596</v>
      </c>
      <c r="L327" s="104" t="s">
        <v>597</v>
      </c>
      <c r="M327" s="80" t="s">
        <v>94</v>
      </c>
      <c r="N327" s="80"/>
      <c r="O327" s="83"/>
      <c r="P327" s="80"/>
      <c r="Q327" s="80" t="s">
        <v>95</v>
      </c>
      <c r="R327" s="80" t="s">
        <v>1433</v>
      </c>
    </row>
    <row r="328" spans="1:18" ht="23" hidden="1" x14ac:dyDescent="0.35">
      <c r="A328" s="78" t="s">
        <v>1339</v>
      </c>
      <c r="B328" s="113" t="s">
        <v>1274</v>
      </c>
      <c r="C328" s="80" t="s">
        <v>2105</v>
      </c>
      <c r="D328" s="80" t="s">
        <v>1340</v>
      </c>
      <c r="E328" s="80"/>
      <c r="F328" s="110" t="s">
        <v>874</v>
      </c>
      <c r="G328" s="80" t="s">
        <v>1341</v>
      </c>
      <c r="H328" s="80"/>
      <c r="I328" s="80" t="s">
        <v>1342</v>
      </c>
      <c r="J328" s="80" t="s">
        <v>1831</v>
      </c>
      <c r="K328" s="80" t="s">
        <v>78</v>
      </c>
      <c r="L328" s="85" t="s">
        <v>79</v>
      </c>
      <c r="M328" s="80" t="s">
        <v>397</v>
      </c>
      <c r="N328" s="80" t="s">
        <v>874</v>
      </c>
      <c r="O328" s="83" t="s">
        <v>1829</v>
      </c>
      <c r="P328" s="80" t="s">
        <v>1343</v>
      </c>
      <c r="Q328" s="80" t="s">
        <v>39</v>
      </c>
      <c r="R328" s="80" t="s">
        <v>468</v>
      </c>
    </row>
    <row r="329" spans="1:18" ht="23" hidden="1" x14ac:dyDescent="0.35">
      <c r="A329" s="86" t="s">
        <v>1344</v>
      </c>
      <c r="B329" s="113" t="s">
        <v>1274</v>
      </c>
      <c r="C329" s="87" t="s">
        <v>2105</v>
      </c>
      <c r="D329" s="87" t="s">
        <v>1345</v>
      </c>
      <c r="E329" s="87"/>
      <c r="F329" s="110" t="s">
        <v>874</v>
      </c>
      <c r="G329" s="87" t="s">
        <v>1346</v>
      </c>
      <c r="H329" s="87"/>
      <c r="I329" s="87" t="s">
        <v>2106</v>
      </c>
      <c r="J329" s="87" t="s">
        <v>1835</v>
      </c>
      <c r="K329" s="87" t="s">
        <v>78</v>
      </c>
      <c r="L329" s="85" t="s">
        <v>79</v>
      </c>
      <c r="M329" s="87" t="s">
        <v>397</v>
      </c>
      <c r="N329" s="87" t="s">
        <v>874</v>
      </c>
      <c r="O329" s="90" t="s">
        <v>1829</v>
      </c>
      <c r="P329" s="87" t="s">
        <v>108</v>
      </c>
      <c r="Q329" s="87" t="s">
        <v>39</v>
      </c>
      <c r="R329" s="87" t="s">
        <v>415</v>
      </c>
    </row>
    <row r="330" spans="1:18" ht="23" hidden="1" x14ac:dyDescent="0.35">
      <c r="A330" s="86" t="s">
        <v>1347</v>
      </c>
      <c r="B330" s="113" t="s">
        <v>1274</v>
      </c>
      <c r="C330" s="87" t="s">
        <v>2105</v>
      </c>
      <c r="D330" s="87" t="s">
        <v>1348</v>
      </c>
      <c r="E330" s="87"/>
      <c r="F330" s="110" t="s">
        <v>874</v>
      </c>
      <c r="G330" s="87" t="s">
        <v>1349</v>
      </c>
      <c r="H330" s="87"/>
      <c r="I330" s="87" t="s">
        <v>1350</v>
      </c>
      <c r="J330" s="87" t="s">
        <v>1837</v>
      </c>
      <c r="K330" s="87" t="s">
        <v>78</v>
      </c>
      <c r="L330" s="85" t="s">
        <v>79</v>
      </c>
      <c r="M330" s="87" t="s">
        <v>397</v>
      </c>
      <c r="N330" s="87" t="s">
        <v>874</v>
      </c>
      <c r="O330" s="90" t="s">
        <v>1829</v>
      </c>
      <c r="P330" s="87" t="s">
        <v>108</v>
      </c>
      <c r="Q330" s="87" t="s">
        <v>39</v>
      </c>
      <c r="R330" s="87" t="s">
        <v>1351</v>
      </c>
    </row>
    <row r="331" spans="1:18" ht="23" hidden="1" x14ac:dyDescent="0.35">
      <c r="A331" s="78" t="s">
        <v>1423</v>
      </c>
      <c r="B331" s="113" t="s">
        <v>1274</v>
      </c>
      <c r="C331" s="80" t="s">
        <v>2107</v>
      </c>
      <c r="D331" s="80" t="s">
        <v>1424</v>
      </c>
      <c r="E331" s="80"/>
      <c r="F331" s="96" t="s">
        <v>93</v>
      </c>
      <c r="G331" s="80" t="s">
        <v>2108</v>
      </c>
      <c r="H331" s="80"/>
      <c r="I331" s="80"/>
      <c r="J331" s="80"/>
      <c r="K331" s="80" t="s">
        <v>396</v>
      </c>
      <c r="L331" s="94" t="s">
        <v>61</v>
      </c>
      <c r="M331" s="80" t="s">
        <v>94</v>
      </c>
      <c r="N331" s="80"/>
      <c r="O331" s="83"/>
      <c r="P331" s="80"/>
      <c r="Q331" s="80" t="s">
        <v>95</v>
      </c>
      <c r="R331" s="80" t="s">
        <v>1425</v>
      </c>
    </row>
    <row r="332" spans="1:18" ht="23" hidden="1" x14ac:dyDescent="0.35">
      <c r="A332" s="78" t="s">
        <v>1352</v>
      </c>
      <c r="B332" s="113" t="s">
        <v>1274</v>
      </c>
      <c r="C332" s="80" t="s">
        <v>2107</v>
      </c>
      <c r="D332" s="80" t="s">
        <v>1353</v>
      </c>
      <c r="E332" s="80"/>
      <c r="F332" s="105" t="s">
        <v>413</v>
      </c>
      <c r="G332" s="80" t="s">
        <v>1354</v>
      </c>
      <c r="H332" s="80"/>
      <c r="I332" s="80" t="s">
        <v>2109</v>
      </c>
      <c r="J332" s="80" t="s">
        <v>1837</v>
      </c>
      <c r="K332" s="80" t="s">
        <v>106</v>
      </c>
      <c r="L332" s="92" t="s">
        <v>107</v>
      </c>
      <c r="M332" s="80" t="s">
        <v>397</v>
      </c>
      <c r="N332" s="80" t="s">
        <v>413</v>
      </c>
      <c r="O332" s="83" t="s">
        <v>1829</v>
      </c>
      <c r="P332" s="80"/>
      <c r="Q332" s="80" t="s">
        <v>39</v>
      </c>
      <c r="R332" s="80" t="s">
        <v>182</v>
      </c>
    </row>
    <row r="333" spans="1:18" ht="34.5" hidden="1" x14ac:dyDescent="0.35">
      <c r="A333" s="86" t="s">
        <v>1337</v>
      </c>
      <c r="B333" s="113" t="s">
        <v>1274</v>
      </c>
      <c r="C333" s="87" t="s">
        <v>2110</v>
      </c>
      <c r="D333" s="87" t="s">
        <v>1338</v>
      </c>
      <c r="E333" s="87"/>
      <c r="F333" s="110" t="s">
        <v>874</v>
      </c>
      <c r="G333" s="87" t="s">
        <v>2111</v>
      </c>
      <c r="H333" s="87"/>
      <c r="I333" s="87"/>
      <c r="J333" s="87"/>
      <c r="K333" s="87" t="s">
        <v>78</v>
      </c>
      <c r="L333" s="85" t="s">
        <v>79</v>
      </c>
      <c r="M333" s="87" t="s">
        <v>397</v>
      </c>
      <c r="N333" s="87" t="s">
        <v>874</v>
      </c>
      <c r="O333" s="90" t="s">
        <v>1829</v>
      </c>
      <c r="P333" s="87" t="s">
        <v>414</v>
      </c>
      <c r="Q333" s="87" t="s">
        <v>39</v>
      </c>
      <c r="R333" s="87" t="s">
        <v>468</v>
      </c>
    </row>
    <row r="334" spans="1:18" ht="23" hidden="1" x14ac:dyDescent="0.35">
      <c r="A334" s="78" t="s">
        <v>1275</v>
      </c>
      <c r="B334" s="113" t="s">
        <v>1274</v>
      </c>
      <c r="C334" s="80" t="s">
        <v>2112</v>
      </c>
      <c r="D334" s="80" t="s">
        <v>1276</v>
      </c>
      <c r="E334" s="80"/>
      <c r="F334" s="101" t="s">
        <v>1912</v>
      </c>
      <c r="G334" s="80" t="s">
        <v>1277</v>
      </c>
      <c r="H334" s="80" t="s">
        <v>1278</v>
      </c>
      <c r="I334" s="80"/>
      <c r="J334" s="80"/>
      <c r="K334" s="80" t="s">
        <v>835</v>
      </c>
      <c r="L334" s="102" t="s">
        <v>280</v>
      </c>
      <c r="M334" s="80" t="s">
        <v>1279</v>
      </c>
      <c r="N334" s="80" t="s">
        <v>290</v>
      </c>
      <c r="O334" s="83"/>
      <c r="P334" s="80"/>
      <c r="Q334" s="80" t="s">
        <v>291</v>
      </c>
      <c r="R334" s="80"/>
    </row>
    <row r="335" spans="1:18" ht="23" hidden="1" x14ac:dyDescent="0.35">
      <c r="A335" s="78" t="s">
        <v>1280</v>
      </c>
      <c r="B335" s="113" t="s">
        <v>1274</v>
      </c>
      <c r="C335" s="80" t="s">
        <v>2112</v>
      </c>
      <c r="D335" s="80" t="s">
        <v>1281</v>
      </c>
      <c r="E335" s="80"/>
      <c r="F335" s="114" t="s">
        <v>1282</v>
      </c>
      <c r="G335" s="80" t="s">
        <v>1283</v>
      </c>
      <c r="H335" s="80"/>
      <c r="I335" s="80" t="s">
        <v>2113</v>
      </c>
      <c r="J335" s="80" t="s">
        <v>1867</v>
      </c>
      <c r="K335" s="80" t="s">
        <v>106</v>
      </c>
      <c r="L335" s="92" t="s">
        <v>107</v>
      </c>
      <c r="M335" s="80" t="s">
        <v>397</v>
      </c>
      <c r="N335" s="80" t="s">
        <v>1282</v>
      </c>
      <c r="O335" s="83" t="s">
        <v>1829</v>
      </c>
      <c r="P335" s="80" t="s">
        <v>173</v>
      </c>
      <c r="Q335" s="80" t="s">
        <v>39</v>
      </c>
      <c r="R335" s="80" t="s">
        <v>903</v>
      </c>
    </row>
    <row r="336" spans="1:18" ht="23" hidden="1" x14ac:dyDescent="0.35">
      <c r="A336" s="86" t="s">
        <v>1284</v>
      </c>
      <c r="B336" s="113" t="s">
        <v>1274</v>
      </c>
      <c r="C336" s="87" t="s">
        <v>2112</v>
      </c>
      <c r="D336" s="87" t="s">
        <v>1285</v>
      </c>
      <c r="E336" s="87"/>
      <c r="F336" s="84" t="s">
        <v>419</v>
      </c>
      <c r="G336" s="87" t="s">
        <v>1286</v>
      </c>
      <c r="H336" s="87"/>
      <c r="I336" s="87" t="s">
        <v>2114</v>
      </c>
      <c r="J336" s="87" t="s">
        <v>1835</v>
      </c>
      <c r="K336" s="87" t="s">
        <v>78</v>
      </c>
      <c r="L336" s="85" t="s">
        <v>79</v>
      </c>
      <c r="M336" s="87" t="s">
        <v>397</v>
      </c>
      <c r="N336" s="87" t="s">
        <v>419</v>
      </c>
      <c r="O336" s="90" t="s">
        <v>1829</v>
      </c>
      <c r="P336" s="87" t="s">
        <v>108</v>
      </c>
      <c r="Q336" s="87" t="s">
        <v>39</v>
      </c>
      <c r="R336" s="87" t="s">
        <v>415</v>
      </c>
    </row>
    <row r="337" spans="1:18" ht="34.5" hidden="1" x14ac:dyDescent="0.35">
      <c r="A337" s="86" t="s">
        <v>1287</v>
      </c>
      <c r="B337" s="113" t="s">
        <v>1274</v>
      </c>
      <c r="C337" s="87" t="s">
        <v>2112</v>
      </c>
      <c r="D337" s="87" t="s">
        <v>1288</v>
      </c>
      <c r="E337" s="87" t="s">
        <v>1289</v>
      </c>
      <c r="F337" s="110" t="s">
        <v>874</v>
      </c>
      <c r="G337" s="87" t="s">
        <v>1290</v>
      </c>
      <c r="H337" s="87"/>
      <c r="I337" s="87" t="s">
        <v>1291</v>
      </c>
      <c r="J337" s="87" t="s">
        <v>1841</v>
      </c>
      <c r="K337" s="87" t="s">
        <v>1292</v>
      </c>
      <c r="L337" s="82" t="s">
        <v>30</v>
      </c>
      <c r="M337" s="87"/>
      <c r="N337" s="87" t="s">
        <v>1293</v>
      </c>
      <c r="O337" s="90" t="s">
        <v>1829</v>
      </c>
      <c r="P337" s="87" t="s">
        <v>90</v>
      </c>
      <c r="Q337" s="87" t="s">
        <v>1294</v>
      </c>
      <c r="R337" s="87" t="s">
        <v>1295</v>
      </c>
    </row>
    <row r="338" spans="1:18" ht="23" hidden="1" x14ac:dyDescent="0.35">
      <c r="A338" s="86" t="s">
        <v>1296</v>
      </c>
      <c r="B338" s="113" t="s">
        <v>1274</v>
      </c>
      <c r="C338" s="87" t="s">
        <v>2112</v>
      </c>
      <c r="D338" s="87" t="s">
        <v>1297</v>
      </c>
      <c r="E338" s="87"/>
      <c r="F338" s="110" t="s">
        <v>874</v>
      </c>
      <c r="G338" s="87" t="s">
        <v>2115</v>
      </c>
      <c r="H338" s="87"/>
      <c r="I338" s="87" t="s">
        <v>1298</v>
      </c>
      <c r="J338" s="87" t="s">
        <v>1831</v>
      </c>
      <c r="K338" s="87" t="s">
        <v>78</v>
      </c>
      <c r="L338" s="85" t="s">
        <v>79</v>
      </c>
      <c r="M338" s="87" t="s">
        <v>397</v>
      </c>
      <c r="N338" s="87" t="s">
        <v>874</v>
      </c>
      <c r="O338" s="90" t="s">
        <v>1829</v>
      </c>
      <c r="P338" s="87" t="s">
        <v>414</v>
      </c>
      <c r="Q338" s="87" t="s">
        <v>39</v>
      </c>
      <c r="R338" s="87" t="s">
        <v>472</v>
      </c>
    </row>
    <row r="339" spans="1:18" ht="23" hidden="1" x14ac:dyDescent="0.35">
      <c r="A339" s="86" t="s">
        <v>1299</v>
      </c>
      <c r="B339" s="113" t="s">
        <v>1274</v>
      </c>
      <c r="C339" s="87" t="s">
        <v>2112</v>
      </c>
      <c r="D339" s="87" t="s">
        <v>1300</v>
      </c>
      <c r="E339" s="87"/>
      <c r="F339" s="101" t="s">
        <v>1912</v>
      </c>
      <c r="G339" s="87" t="s">
        <v>1301</v>
      </c>
      <c r="H339" s="87" t="s">
        <v>1302</v>
      </c>
      <c r="I339" s="87"/>
      <c r="J339" s="87"/>
      <c r="K339" s="87" t="s">
        <v>835</v>
      </c>
      <c r="L339" s="102" t="s">
        <v>280</v>
      </c>
      <c r="M339" s="87" t="s">
        <v>1303</v>
      </c>
      <c r="N339" s="87" t="s">
        <v>290</v>
      </c>
      <c r="O339" s="90"/>
      <c r="P339" s="87"/>
      <c r="Q339" s="87" t="s">
        <v>491</v>
      </c>
      <c r="R339" s="87"/>
    </row>
    <row r="340" spans="1:18" ht="23" hidden="1" x14ac:dyDescent="0.35">
      <c r="A340" s="78" t="s">
        <v>1304</v>
      </c>
      <c r="B340" s="113" t="s">
        <v>1274</v>
      </c>
      <c r="C340" s="80" t="s">
        <v>2112</v>
      </c>
      <c r="D340" s="80" t="s">
        <v>1305</v>
      </c>
      <c r="E340" s="80"/>
      <c r="F340" s="101" t="s">
        <v>1912</v>
      </c>
      <c r="G340" s="80" t="s">
        <v>1306</v>
      </c>
      <c r="H340" s="80" t="s">
        <v>1307</v>
      </c>
      <c r="I340" s="80"/>
      <c r="J340" s="80"/>
      <c r="K340" s="80" t="s">
        <v>302</v>
      </c>
      <c r="L340" s="102" t="s">
        <v>280</v>
      </c>
      <c r="M340" s="80" t="s">
        <v>416</v>
      </c>
      <c r="N340" s="80" t="s">
        <v>290</v>
      </c>
      <c r="O340" s="83"/>
      <c r="P340" s="80"/>
      <c r="Q340" s="80" t="s">
        <v>506</v>
      </c>
      <c r="R340" s="80"/>
    </row>
    <row r="341" spans="1:18" ht="34.5" hidden="1" x14ac:dyDescent="0.35">
      <c r="A341" s="78" t="s">
        <v>1308</v>
      </c>
      <c r="B341" s="113" t="s">
        <v>1274</v>
      </c>
      <c r="C341" s="80" t="s">
        <v>2112</v>
      </c>
      <c r="D341" s="80" t="s">
        <v>1309</v>
      </c>
      <c r="E341" s="80"/>
      <c r="F341" s="110" t="s">
        <v>874</v>
      </c>
      <c r="G341" s="80" t="s">
        <v>2116</v>
      </c>
      <c r="H341" s="80"/>
      <c r="I341" s="80" t="s">
        <v>2117</v>
      </c>
      <c r="J341" s="80" t="s">
        <v>1831</v>
      </c>
      <c r="K341" s="80" t="s">
        <v>78</v>
      </c>
      <c r="L341" s="85" t="s">
        <v>79</v>
      </c>
      <c r="M341" s="80" t="s">
        <v>397</v>
      </c>
      <c r="N341" s="80" t="s">
        <v>874</v>
      </c>
      <c r="O341" s="83" t="s">
        <v>1829</v>
      </c>
      <c r="P341" s="80" t="s">
        <v>414</v>
      </c>
      <c r="Q341" s="80" t="s">
        <v>39</v>
      </c>
      <c r="R341" s="80" t="s">
        <v>472</v>
      </c>
    </row>
    <row r="342" spans="1:18" ht="34.5" hidden="1" x14ac:dyDescent="0.35">
      <c r="A342" s="78" t="s">
        <v>1440</v>
      </c>
      <c r="B342" s="113" t="s">
        <v>1274</v>
      </c>
      <c r="C342" s="80" t="s">
        <v>2112</v>
      </c>
      <c r="D342" s="80" t="s">
        <v>1441</v>
      </c>
      <c r="E342" s="80"/>
      <c r="F342" s="96" t="s">
        <v>93</v>
      </c>
      <c r="G342" s="80" t="s">
        <v>2118</v>
      </c>
      <c r="H342" s="80"/>
      <c r="I342" s="80"/>
      <c r="J342" s="80"/>
      <c r="K342" s="80" t="s">
        <v>396</v>
      </c>
      <c r="L342" s="94" t="s">
        <v>61</v>
      </c>
      <c r="M342" s="80" t="s">
        <v>94</v>
      </c>
      <c r="N342" s="80"/>
      <c r="O342" s="83"/>
      <c r="P342" s="80"/>
      <c r="Q342" s="80" t="s">
        <v>95</v>
      </c>
      <c r="R342" s="80" t="s">
        <v>1442</v>
      </c>
    </row>
    <row r="343" spans="1:18" ht="23" hidden="1" x14ac:dyDescent="0.35">
      <c r="A343" s="86" t="s">
        <v>1443</v>
      </c>
      <c r="B343" s="113" t="s">
        <v>1274</v>
      </c>
      <c r="C343" s="87" t="s">
        <v>2112</v>
      </c>
      <c r="D343" s="87" t="s">
        <v>1444</v>
      </c>
      <c r="E343" s="87"/>
      <c r="F343" s="96" t="s">
        <v>93</v>
      </c>
      <c r="G343" s="87" t="s">
        <v>2119</v>
      </c>
      <c r="H343" s="87"/>
      <c r="I343" s="87"/>
      <c r="J343" s="87"/>
      <c r="K343" s="87" t="s">
        <v>596</v>
      </c>
      <c r="L343" s="104" t="s">
        <v>597</v>
      </c>
      <c r="M343" s="87" t="s">
        <v>94</v>
      </c>
      <c r="N343" s="87"/>
      <c r="O343" s="90"/>
      <c r="P343" s="87"/>
      <c r="Q343" s="87" t="s">
        <v>95</v>
      </c>
      <c r="R343" s="87" t="s">
        <v>1445</v>
      </c>
    </row>
    <row r="344" spans="1:18" ht="23" hidden="1" x14ac:dyDescent="0.35">
      <c r="A344" s="78" t="s">
        <v>1310</v>
      </c>
      <c r="B344" s="113" t="s">
        <v>1274</v>
      </c>
      <c r="C344" s="80" t="s">
        <v>2112</v>
      </c>
      <c r="D344" s="80" t="s">
        <v>1311</v>
      </c>
      <c r="E344" s="80"/>
      <c r="F344" s="105" t="s">
        <v>413</v>
      </c>
      <c r="G344" s="80" t="s">
        <v>1312</v>
      </c>
      <c r="H344" s="80"/>
      <c r="I344" s="80" t="s">
        <v>1313</v>
      </c>
      <c r="J344" s="80" t="s">
        <v>1835</v>
      </c>
      <c r="K344" s="80" t="s">
        <v>106</v>
      </c>
      <c r="L344" s="92" t="s">
        <v>107</v>
      </c>
      <c r="M344" s="80" t="s">
        <v>397</v>
      </c>
      <c r="N344" s="80" t="s">
        <v>413</v>
      </c>
      <c r="O344" s="83" t="s">
        <v>1829</v>
      </c>
      <c r="P344" s="80" t="s">
        <v>108</v>
      </c>
      <c r="Q344" s="80" t="s">
        <v>39</v>
      </c>
      <c r="R344" s="80" t="s">
        <v>109</v>
      </c>
    </row>
    <row r="345" spans="1:18" ht="22" hidden="1" x14ac:dyDescent="0.35">
      <c r="A345" s="86" t="s">
        <v>1314</v>
      </c>
      <c r="B345" s="113" t="s">
        <v>1274</v>
      </c>
      <c r="C345" s="87" t="s">
        <v>2112</v>
      </c>
      <c r="D345" s="87" t="s">
        <v>1315</v>
      </c>
      <c r="E345" s="87"/>
      <c r="F345" s="115" t="s">
        <v>1316</v>
      </c>
      <c r="G345" s="87" t="s">
        <v>2120</v>
      </c>
      <c r="H345" s="87"/>
      <c r="I345" s="87" t="s">
        <v>1317</v>
      </c>
      <c r="J345" s="87" t="s">
        <v>1831</v>
      </c>
      <c r="K345" s="87" t="s">
        <v>78</v>
      </c>
      <c r="L345" s="85" t="s">
        <v>79</v>
      </c>
      <c r="M345" s="87" t="s">
        <v>397</v>
      </c>
      <c r="N345" s="87" t="s">
        <v>1316</v>
      </c>
      <c r="O345" s="90" t="s">
        <v>1829</v>
      </c>
      <c r="P345" s="87" t="s">
        <v>414</v>
      </c>
      <c r="Q345" s="87" t="s">
        <v>39</v>
      </c>
      <c r="R345" s="87" t="s">
        <v>472</v>
      </c>
    </row>
    <row r="346" spans="1:18" ht="23" hidden="1" x14ac:dyDescent="0.35">
      <c r="A346" s="78" t="s">
        <v>1318</v>
      </c>
      <c r="B346" s="113" t="s">
        <v>1274</v>
      </c>
      <c r="C346" s="80" t="s">
        <v>2112</v>
      </c>
      <c r="D346" s="80" t="s">
        <v>1319</v>
      </c>
      <c r="E346" s="80"/>
      <c r="F346" s="110" t="s">
        <v>874</v>
      </c>
      <c r="G346" s="80" t="s">
        <v>2121</v>
      </c>
      <c r="H346" s="80"/>
      <c r="I346" s="80" t="s">
        <v>2122</v>
      </c>
      <c r="J346" s="80" t="s">
        <v>1831</v>
      </c>
      <c r="K346" s="80" t="s">
        <v>78</v>
      </c>
      <c r="L346" s="85" t="s">
        <v>79</v>
      </c>
      <c r="M346" s="80" t="s">
        <v>397</v>
      </c>
      <c r="N346" s="80" t="s">
        <v>874</v>
      </c>
      <c r="O346" s="83" t="s">
        <v>1829</v>
      </c>
      <c r="P346" s="80" t="s">
        <v>414</v>
      </c>
      <c r="Q346" s="80" t="s">
        <v>39</v>
      </c>
      <c r="R346" s="80" t="s">
        <v>472</v>
      </c>
    </row>
    <row r="347" spans="1:18" ht="23" hidden="1" x14ac:dyDescent="0.35">
      <c r="A347" s="86" t="s">
        <v>1320</v>
      </c>
      <c r="B347" s="113" t="s">
        <v>1274</v>
      </c>
      <c r="C347" s="87" t="s">
        <v>2112</v>
      </c>
      <c r="D347" s="87" t="s">
        <v>1321</v>
      </c>
      <c r="E347" s="87"/>
      <c r="F347" s="110" t="s">
        <v>874</v>
      </c>
      <c r="G347" s="87" t="s">
        <v>1322</v>
      </c>
      <c r="H347" s="87"/>
      <c r="I347" s="87" t="s">
        <v>1323</v>
      </c>
      <c r="J347" s="87" t="s">
        <v>1854</v>
      </c>
      <c r="K347" s="87" t="s">
        <v>37</v>
      </c>
      <c r="L347" s="82" t="s">
        <v>30</v>
      </c>
      <c r="M347" s="87" t="s">
        <v>397</v>
      </c>
      <c r="N347" s="87" t="s">
        <v>874</v>
      </c>
      <c r="O347" s="100" t="s">
        <v>2030</v>
      </c>
      <c r="P347" s="87" t="s">
        <v>1196</v>
      </c>
      <c r="Q347" s="87" t="s">
        <v>39</v>
      </c>
      <c r="R347" s="87" t="s">
        <v>1197</v>
      </c>
    </row>
    <row r="348" spans="1:18" ht="23" hidden="1" x14ac:dyDescent="0.35">
      <c r="A348" s="78" t="s">
        <v>1324</v>
      </c>
      <c r="B348" s="113" t="s">
        <v>1274</v>
      </c>
      <c r="C348" s="80" t="s">
        <v>2112</v>
      </c>
      <c r="D348" s="80" t="s">
        <v>1325</v>
      </c>
      <c r="E348" s="80"/>
      <c r="F348" s="114" t="s">
        <v>1282</v>
      </c>
      <c r="G348" s="80" t="s">
        <v>1326</v>
      </c>
      <c r="H348" s="80"/>
      <c r="I348" s="80" t="s">
        <v>1836</v>
      </c>
      <c r="J348" s="80" t="s">
        <v>1835</v>
      </c>
      <c r="K348" s="80" t="s">
        <v>106</v>
      </c>
      <c r="L348" s="92" t="s">
        <v>107</v>
      </c>
      <c r="M348" s="80" t="s">
        <v>397</v>
      </c>
      <c r="N348" s="80" t="s">
        <v>1282</v>
      </c>
      <c r="O348" s="83" t="s">
        <v>1829</v>
      </c>
      <c r="P348" s="80" t="s">
        <v>108</v>
      </c>
      <c r="Q348" s="80" t="s">
        <v>39</v>
      </c>
      <c r="R348" s="80" t="s">
        <v>1327</v>
      </c>
    </row>
    <row r="349" spans="1:18" ht="23" hidden="1" x14ac:dyDescent="0.35">
      <c r="A349" s="86" t="s">
        <v>1328</v>
      </c>
      <c r="B349" s="113" t="s">
        <v>1274</v>
      </c>
      <c r="C349" s="87" t="s">
        <v>2112</v>
      </c>
      <c r="D349" s="87" t="s">
        <v>1329</v>
      </c>
      <c r="E349" s="87"/>
      <c r="F349" s="114" t="s">
        <v>1282</v>
      </c>
      <c r="G349" s="87" t="s">
        <v>2123</v>
      </c>
      <c r="H349" s="87"/>
      <c r="I349" s="87" t="s">
        <v>2124</v>
      </c>
      <c r="J349" s="87" t="s">
        <v>1831</v>
      </c>
      <c r="K349" s="87" t="s">
        <v>78</v>
      </c>
      <c r="L349" s="85" t="s">
        <v>79</v>
      </c>
      <c r="M349" s="87" t="s">
        <v>397</v>
      </c>
      <c r="N349" s="87" t="s">
        <v>1282</v>
      </c>
      <c r="O349" s="90" t="s">
        <v>1829</v>
      </c>
      <c r="P349" s="87" t="s">
        <v>414</v>
      </c>
      <c r="Q349" s="87" t="s">
        <v>39</v>
      </c>
      <c r="R349" s="87" t="s">
        <v>472</v>
      </c>
    </row>
    <row r="350" spans="1:18" ht="22" hidden="1" x14ac:dyDescent="0.35">
      <c r="A350" s="78" t="s">
        <v>1330</v>
      </c>
      <c r="B350" s="113" t="s">
        <v>1274</v>
      </c>
      <c r="C350" s="80" t="s">
        <v>2112</v>
      </c>
      <c r="D350" s="80" t="s">
        <v>1331</v>
      </c>
      <c r="E350" s="80"/>
      <c r="F350" s="101" t="s">
        <v>1912</v>
      </c>
      <c r="G350" s="80" t="s">
        <v>1332</v>
      </c>
      <c r="H350" s="80" t="s">
        <v>1333</v>
      </c>
      <c r="I350" s="80"/>
      <c r="J350" s="80"/>
      <c r="K350" s="80" t="s">
        <v>385</v>
      </c>
      <c r="L350" s="103" t="s">
        <v>386</v>
      </c>
      <c r="M350" s="80" t="s">
        <v>416</v>
      </c>
      <c r="N350" s="80" t="s">
        <v>290</v>
      </c>
      <c r="O350" s="83"/>
      <c r="P350" s="80"/>
      <c r="Q350" s="80" t="s">
        <v>291</v>
      </c>
      <c r="R350" s="80"/>
    </row>
    <row r="351" spans="1:18" ht="34.5" hidden="1" x14ac:dyDescent="0.35">
      <c r="A351" s="78" t="s">
        <v>1334</v>
      </c>
      <c r="B351" s="113" t="s">
        <v>1274</v>
      </c>
      <c r="C351" s="80" t="s">
        <v>2112</v>
      </c>
      <c r="D351" s="80" t="s">
        <v>1335</v>
      </c>
      <c r="E351" s="80" t="s">
        <v>1336</v>
      </c>
      <c r="F351" s="88" t="s">
        <v>21</v>
      </c>
      <c r="G351" s="80" t="s">
        <v>2125</v>
      </c>
      <c r="H351" s="80"/>
      <c r="I351" s="80" t="s">
        <v>195</v>
      </c>
      <c r="J351" s="80" t="s">
        <v>1864</v>
      </c>
      <c r="K351" s="80"/>
      <c r="L351" s="89" t="s">
        <v>23</v>
      </c>
      <c r="M351" s="80" t="s">
        <v>397</v>
      </c>
      <c r="N351" s="80" t="s">
        <v>21</v>
      </c>
      <c r="O351" s="83"/>
      <c r="P351" s="80"/>
      <c r="Q351" s="80" t="s">
        <v>24</v>
      </c>
      <c r="R351" s="80"/>
    </row>
    <row r="352" spans="1:18" hidden="1" x14ac:dyDescent="0.35">
      <c r="A352" s="116" t="s">
        <v>2126</v>
      </c>
      <c r="B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</row>
    <row r="353" spans="1:18" ht="34.5" hidden="1" x14ac:dyDescent="0.35">
      <c r="A353" s="78" t="s">
        <v>1581</v>
      </c>
      <c r="B353" s="117" t="s">
        <v>1451</v>
      </c>
      <c r="C353" s="80" t="s">
        <v>2127</v>
      </c>
      <c r="D353" s="80" t="s">
        <v>1582</v>
      </c>
      <c r="E353" s="80" t="s">
        <v>1583</v>
      </c>
      <c r="F353" s="88" t="s">
        <v>21</v>
      </c>
      <c r="G353" s="80" t="s">
        <v>2128</v>
      </c>
      <c r="H353" s="80" t="s">
        <v>2128</v>
      </c>
      <c r="I353" s="80" t="s">
        <v>100</v>
      </c>
      <c r="J353" s="80" t="s">
        <v>1848</v>
      </c>
      <c r="K353" s="80" t="s">
        <v>125</v>
      </c>
      <c r="L353" s="82" t="s">
        <v>30</v>
      </c>
      <c r="M353" s="80"/>
      <c r="N353" s="80" t="s">
        <v>21</v>
      </c>
      <c r="O353" s="83"/>
      <c r="P353" s="80"/>
      <c r="Q353" s="80" t="s">
        <v>24</v>
      </c>
      <c r="R353" s="80"/>
    </row>
    <row r="354" spans="1:18" ht="34.5" hidden="1" x14ac:dyDescent="0.35">
      <c r="A354" s="78" t="s">
        <v>1470</v>
      </c>
      <c r="B354" s="117" t="s">
        <v>1451</v>
      </c>
      <c r="C354" s="80" t="s">
        <v>2127</v>
      </c>
      <c r="D354" s="80" t="s">
        <v>1471</v>
      </c>
      <c r="E354" s="80" t="s">
        <v>1472</v>
      </c>
      <c r="F354" s="88" t="s">
        <v>21</v>
      </c>
      <c r="G354" s="80" t="s">
        <v>2129</v>
      </c>
      <c r="H354" s="80"/>
      <c r="I354" s="80" t="s">
        <v>52</v>
      </c>
      <c r="J354" s="80" t="s">
        <v>1867</v>
      </c>
      <c r="K354" s="80"/>
      <c r="L354" s="89" t="s">
        <v>23</v>
      </c>
      <c r="M354" s="80" t="s">
        <v>397</v>
      </c>
      <c r="N354" s="80" t="s">
        <v>21</v>
      </c>
      <c r="O354" s="83"/>
      <c r="P354" s="80"/>
      <c r="Q354" s="80" t="s">
        <v>24</v>
      </c>
      <c r="R354" s="80"/>
    </row>
    <row r="355" spans="1:18" ht="23" hidden="1" x14ac:dyDescent="0.35">
      <c r="A355" s="78" t="s">
        <v>1450</v>
      </c>
      <c r="B355" s="117" t="s">
        <v>1451</v>
      </c>
      <c r="C355" s="80" t="s">
        <v>2130</v>
      </c>
      <c r="D355" s="80" t="s">
        <v>1452</v>
      </c>
      <c r="E355" s="80"/>
      <c r="F355" s="84" t="s">
        <v>419</v>
      </c>
      <c r="G355" s="80" t="s">
        <v>1453</v>
      </c>
      <c r="H355" s="80"/>
      <c r="I355" s="80" t="s">
        <v>2131</v>
      </c>
      <c r="J355" s="80" t="s">
        <v>1835</v>
      </c>
      <c r="K355" s="80" t="s">
        <v>106</v>
      </c>
      <c r="L355" s="92" t="s">
        <v>107</v>
      </c>
      <c r="M355" s="80" t="s">
        <v>397</v>
      </c>
      <c r="N355" s="80" t="s">
        <v>419</v>
      </c>
      <c r="O355" s="83" t="s">
        <v>1829</v>
      </c>
      <c r="P355" s="80" t="s">
        <v>108</v>
      </c>
      <c r="Q355" s="80" t="s">
        <v>39</v>
      </c>
      <c r="R355" s="80" t="s">
        <v>109</v>
      </c>
    </row>
    <row r="356" spans="1:18" ht="23" hidden="1" x14ac:dyDescent="0.35">
      <c r="A356" s="78" t="s">
        <v>1473</v>
      </c>
      <c r="B356" s="117" t="s">
        <v>1451</v>
      </c>
      <c r="C356" s="80" t="s">
        <v>2130</v>
      </c>
      <c r="D356" s="80" t="s">
        <v>1474</v>
      </c>
      <c r="E356" s="80"/>
      <c r="F356" s="98" t="s">
        <v>76</v>
      </c>
      <c r="G356" s="80" t="s">
        <v>1475</v>
      </c>
      <c r="H356" s="80"/>
      <c r="I356" s="80" t="s">
        <v>2132</v>
      </c>
      <c r="J356" s="80" t="s">
        <v>1831</v>
      </c>
      <c r="K356" s="80" t="s">
        <v>78</v>
      </c>
      <c r="L356" s="85" t="s">
        <v>79</v>
      </c>
      <c r="M356" s="80" t="s">
        <v>397</v>
      </c>
      <c r="N356" s="80" t="s">
        <v>76</v>
      </c>
      <c r="O356" s="83" t="s">
        <v>1829</v>
      </c>
      <c r="P356" s="80" t="s">
        <v>1343</v>
      </c>
      <c r="Q356" s="80" t="s">
        <v>39</v>
      </c>
      <c r="R356" s="80" t="s">
        <v>109</v>
      </c>
    </row>
    <row r="357" spans="1:18" ht="57.5" hidden="1" x14ac:dyDescent="0.35">
      <c r="A357" s="78" t="s">
        <v>1476</v>
      </c>
      <c r="B357" s="117" t="s">
        <v>1451</v>
      </c>
      <c r="C357" s="80" t="s">
        <v>2130</v>
      </c>
      <c r="D357" s="80" t="s">
        <v>1477</v>
      </c>
      <c r="E357" s="80" t="s">
        <v>1478</v>
      </c>
      <c r="F357" s="88" t="s">
        <v>21</v>
      </c>
      <c r="G357" s="80" t="s">
        <v>2133</v>
      </c>
      <c r="H357" s="80"/>
      <c r="I357" s="80" t="s">
        <v>1479</v>
      </c>
      <c r="J357" s="80" t="s">
        <v>1828</v>
      </c>
      <c r="K357" s="80" t="s">
        <v>1480</v>
      </c>
      <c r="L357" s="82" t="s">
        <v>30</v>
      </c>
      <c r="M357" s="80"/>
      <c r="N357" s="80" t="s">
        <v>1481</v>
      </c>
      <c r="O357" s="83"/>
      <c r="P357" s="80"/>
      <c r="Q357" s="80" t="s">
        <v>24</v>
      </c>
      <c r="R357" s="80"/>
    </row>
    <row r="358" spans="1:18" ht="23" hidden="1" x14ac:dyDescent="0.35">
      <c r="A358" s="86" t="s">
        <v>1482</v>
      </c>
      <c r="B358" s="117" t="s">
        <v>1451</v>
      </c>
      <c r="C358" s="87" t="s">
        <v>2130</v>
      </c>
      <c r="D358" s="87" t="s">
        <v>1483</v>
      </c>
      <c r="E358" s="87" t="s">
        <v>1484</v>
      </c>
      <c r="F358" s="88" t="s">
        <v>21</v>
      </c>
      <c r="G358" s="87" t="s">
        <v>2134</v>
      </c>
      <c r="H358" s="87"/>
      <c r="I358" s="87" t="s">
        <v>1485</v>
      </c>
      <c r="J358" s="87" t="s">
        <v>1867</v>
      </c>
      <c r="K358" s="87"/>
      <c r="L358" s="89" t="s">
        <v>23</v>
      </c>
      <c r="M358" s="87" t="s">
        <v>397</v>
      </c>
      <c r="N358" s="87" t="s">
        <v>21</v>
      </c>
      <c r="O358" s="90"/>
      <c r="P358" s="87"/>
      <c r="Q358" s="87" t="s">
        <v>24</v>
      </c>
      <c r="R358" s="87"/>
    </row>
    <row r="359" spans="1:18" ht="23" hidden="1" x14ac:dyDescent="0.35">
      <c r="A359" s="78" t="s">
        <v>1486</v>
      </c>
      <c r="B359" s="117" t="s">
        <v>1451</v>
      </c>
      <c r="C359" s="80" t="s">
        <v>2130</v>
      </c>
      <c r="D359" s="80" t="s">
        <v>1487</v>
      </c>
      <c r="E359" s="80" t="s">
        <v>1488</v>
      </c>
      <c r="F359" s="88" t="s">
        <v>21</v>
      </c>
      <c r="G359" s="80" t="s">
        <v>2135</v>
      </c>
      <c r="H359" s="80"/>
      <c r="I359" s="80" t="s">
        <v>588</v>
      </c>
      <c r="J359" s="80" t="s">
        <v>1846</v>
      </c>
      <c r="K359" s="80"/>
      <c r="L359" s="89" t="s">
        <v>23</v>
      </c>
      <c r="M359" s="80" t="s">
        <v>397</v>
      </c>
      <c r="N359" s="80" t="s">
        <v>21</v>
      </c>
      <c r="O359" s="83"/>
      <c r="P359" s="80"/>
      <c r="Q359" s="80" t="s">
        <v>24</v>
      </c>
      <c r="R359" s="80"/>
    </row>
    <row r="360" spans="1:18" ht="23" hidden="1" x14ac:dyDescent="0.35">
      <c r="A360" s="78" t="s">
        <v>1458</v>
      </c>
      <c r="B360" s="117" t="s">
        <v>1451</v>
      </c>
      <c r="C360" s="80" t="s">
        <v>2130</v>
      </c>
      <c r="D360" s="80" t="s">
        <v>1459</v>
      </c>
      <c r="E360" s="80" t="s">
        <v>1460</v>
      </c>
      <c r="F360" s="88" t="s">
        <v>21</v>
      </c>
      <c r="G360" s="80" t="s">
        <v>2136</v>
      </c>
      <c r="H360" s="80" t="s">
        <v>2136</v>
      </c>
      <c r="I360" s="80" t="s">
        <v>1461</v>
      </c>
      <c r="J360" s="80" t="s">
        <v>1848</v>
      </c>
      <c r="K360" s="80" t="s">
        <v>187</v>
      </c>
      <c r="L360" s="82" t="s">
        <v>30</v>
      </c>
      <c r="M360" s="80"/>
      <c r="N360" s="80" t="s">
        <v>21</v>
      </c>
      <c r="O360" s="83"/>
      <c r="P360" s="80"/>
      <c r="Q360" s="80" t="s">
        <v>24</v>
      </c>
      <c r="R360" s="80"/>
    </row>
    <row r="361" spans="1:18" ht="23" hidden="1" x14ac:dyDescent="0.35">
      <c r="A361" s="86" t="s">
        <v>1587</v>
      </c>
      <c r="B361" s="117" t="s">
        <v>1451</v>
      </c>
      <c r="C361" s="87" t="s">
        <v>2130</v>
      </c>
      <c r="D361" s="87" t="s">
        <v>1588</v>
      </c>
      <c r="E361" s="87" t="s">
        <v>1589</v>
      </c>
      <c r="F361" s="88" t="s">
        <v>21</v>
      </c>
      <c r="G361" s="87" t="s">
        <v>2137</v>
      </c>
      <c r="H361" s="87"/>
      <c r="I361" s="87" t="s">
        <v>149</v>
      </c>
      <c r="J361" s="87" t="s">
        <v>1841</v>
      </c>
      <c r="K361" s="87" t="s">
        <v>150</v>
      </c>
      <c r="L361" s="82" t="s">
        <v>30</v>
      </c>
      <c r="M361" s="87"/>
      <c r="N361" s="87" t="s">
        <v>21</v>
      </c>
      <c r="O361" s="90"/>
      <c r="P361" s="87"/>
      <c r="Q361" s="87" t="s">
        <v>24</v>
      </c>
      <c r="R361" s="87"/>
    </row>
    <row r="362" spans="1:18" ht="23" hidden="1" x14ac:dyDescent="0.35">
      <c r="A362" s="78" t="s">
        <v>1489</v>
      </c>
      <c r="B362" s="117" t="s">
        <v>1451</v>
      </c>
      <c r="C362" s="80" t="s">
        <v>2130</v>
      </c>
      <c r="D362" s="80" t="s">
        <v>1490</v>
      </c>
      <c r="E362" s="80"/>
      <c r="F362" s="110" t="s">
        <v>874</v>
      </c>
      <c r="G362" s="80" t="s">
        <v>1491</v>
      </c>
      <c r="H362" s="80"/>
      <c r="I362" s="80" t="s">
        <v>2138</v>
      </c>
      <c r="J362" s="80" t="s">
        <v>1837</v>
      </c>
      <c r="K362" s="80" t="s">
        <v>106</v>
      </c>
      <c r="L362" s="92" t="s">
        <v>107</v>
      </c>
      <c r="M362" s="80" t="s">
        <v>397</v>
      </c>
      <c r="N362" s="80" t="s">
        <v>874</v>
      </c>
      <c r="O362" s="83" t="s">
        <v>1829</v>
      </c>
      <c r="P362" s="80"/>
      <c r="Q362" s="80" t="s">
        <v>39</v>
      </c>
      <c r="R362" s="80" t="s">
        <v>109</v>
      </c>
    </row>
    <row r="363" spans="1:18" ht="34.5" hidden="1" x14ac:dyDescent="0.35">
      <c r="A363" s="86" t="s">
        <v>1559</v>
      </c>
      <c r="B363" s="117" t="s">
        <v>1451</v>
      </c>
      <c r="C363" s="87" t="s">
        <v>2130</v>
      </c>
      <c r="D363" s="87" t="s">
        <v>1560</v>
      </c>
      <c r="E363" s="87" t="s">
        <v>1561</v>
      </c>
      <c r="F363" s="88" t="s">
        <v>21</v>
      </c>
      <c r="G363" s="87" t="s">
        <v>2139</v>
      </c>
      <c r="H363" s="87" t="s">
        <v>2139</v>
      </c>
      <c r="I363" s="87" t="s">
        <v>463</v>
      </c>
      <c r="J363" s="87" t="s">
        <v>1848</v>
      </c>
      <c r="K363" s="87" t="s">
        <v>125</v>
      </c>
      <c r="L363" s="82" t="s">
        <v>30</v>
      </c>
      <c r="M363" s="87"/>
      <c r="N363" s="87" t="s">
        <v>21</v>
      </c>
      <c r="O363" s="90"/>
      <c r="P363" s="87"/>
      <c r="Q363" s="87" t="s">
        <v>24</v>
      </c>
      <c r="R363" s="87"/>
    </row>
    <row r="364" spans="1:18" ht="34.5" hidden="1" x14ac:dyDescent="0.35">
      <c r="A364" s="78" t="s">
        <v>1492</v>
      </c>
      <c r="B364" s="117" t="s">
        <v>1451</v>
      </c>
      <c r="C364" s="80" t="s">
        <v>2130</v>
      </c>
      <c r="D364" s="80" t="s">
        <v>1493</v>
      </c>
      <c r="E364" s="80"/>
      <c r="F364" s="101" t="s">
        <v>1912</v>
      </c>
      <c r="G364" s="80" t="s">
        <v>1494</v>
      </c>
      <c r="H364" s="80" t="s">
        <v>1495</v>
      </c>
      <c r="I364" s="80"/>
      <c r="J364" s="80"/>
      <c r="K364" s="80" t="s">
        <v>835</v>
      </c>
      <c r="L364" s="102" t="s">
        <v>280</v>
      </c>
      <c r="M364" s="80" t="s">
        <v>1171</v>
      </c>
      <c r="N364" s="80" t="s">
        <v>290</v>
      </c>
      <c r="O364" s="83"/>
      <c r="P364" s="80"/>
      <c r="Q364" s="80" t="s">
        <v>523</v>
      </c>
      <c r="R364" s="80"/>
    </row>
    <row r="365" spans="1:18" ht="34.5" hidden="1" x14ac:dyDescent="0.35">
      <c r="A365" s="78" t="s">
        <v>1584</v>
      </c>
      <c r="B365" s="117" t="s">
        <v>1451</v>
      </c>
      <c r="C365" s="80" t="s">
        <v>2140</v>
      </c>
      <c r="D365" s="80" t="s">
        <v>1585</v>
      </c>
      <c r="E365" s="80" t="s">
        <v>1586</v>
      </c>
      <c r="F365" s="88" t="s">
        <v>21</v>
      </c>
      <c r="G365" s="80" t="s">
        <v>2141</v>
      </c>
      <c r="H365" s="80"/>
      <c r="I365" s="80" t="s">
        <v>219</v>
      </c>
      <c r="J365" s="80" t="s">
        <v>1846</v>
      </c>
      <c r="K365" s="80"/>
      <c r="L365" s="89" t="s">
        <v>23</v>
      </c>
      <c r="M365" s="80" t="s">
        <v>397</v>
      </c>
      <c r="N365" s="80" t="s">
        <v>21</v>
      </c>
      <c r="O365" s="83"/>
      <c r="P365" s="80"/>
      <c r="Q365" s="80" t="s">
        <v>24</v>
      </c>
      <c r="R365" s="80"/>
    </row>
    <row r="366" spans="1:18" ht="23" hidden="1" x14ac:dyDescent="0.35">
      <c r="A366" s="86" t="s">
        <v>1600</v>
      </c>
      <c r="B366" s="117" t="s">
        <v>1451</v>
      </c>
      <c r="C366" s="87" t="s">
        <v>2140</v>
      </c>
      <c r="D366" s="87" t="s">
        <v>1601</v>
      </c>
      <c r="E366" s="87" t="s">
        <v>1602</v>
      </c>
      <c r="F366" s="88" t="s">
        <v>21</v>
      </c>
      <c r="G366" s="87" t="s">
        <v>2142</v>
      </c>
      <c r="H366" s="87"/>
      <c r="I366" s="87" t="s">
        <v>1603</v>
      </c>
      <c r="J366" s="87" t="s">
        <v>1834</v>
      </c>
      <c r="K366" s="87"/>
      <c r="L366" s="89" t="s">
        <v>23</v>
      </c>
      <c r="M366" s="87" t="s">
        <v>397</v>
      </c>
      <c r="N366" s="87" t="s">
        <v>21</v>
      </c>
      <c r="O366" s="90"/>
      <c r="P366" s="87"/>
      <c r="Q366" s="87" t="s">
        <v>24</v>
      </c>
      <c r="R366" s="87"/>
    </row>
    <row r="367" spans="1:18" ht="23" x14ac:dyDescent="0.35">
      <c r="A367" s="78" t="s">
        <v>1604</v>
      </c>
      <c r="B367" s="117" t="s">
        <v>1451</v>
      </c>
      <c r="C367" s="80" t="s">
        <v>2140</v>
      </c>
      <c r="D367" s="80" t="s">
        <v>1605</v>
      </c>
      <c r="E367" s="80"/>
      <c r="F367" s="118" t="s">
        <v>1606</v>
      </c>
      <c r="G367" s="80" t="s">
        <v>2143</v>
      </c>
      <c r="H367" s="80"/>
      <c r="I367" s="80" t="s">
        <v>1607</v>
      </c>
      <c r="J367" s="80" t="s">
        <v>1906</v>
      </c>
      <c r="K367" s="80" t="s">
        <v>78</v>
      </c>
      <c r="L367" s="85" t="s">
        <v>79</v>
      </c>
      <c r="M367" s="80" t="s">
        <v>397</v>
      </c>
      <c r="N367" s="80" t="s">
        <v>1606</v>
      </c>
      <c r="O367" s="83" t="s">
        <v>1829</v>
      </c>
      <c r="P367" s="80"/>
      <c r="Q367" s="80" t="s">
        <v>39</v>
      </c>
      <c r="R367" s="80" t="s">
        <v>472</v>
      </c>
    </row>
    <row r="368" spans="1:18" ht="23" hidden="1" x14ac:dyDescent="0.35">
      <c r="A368" s="78" t="s">
        <v>1608</v>
      </c>
      <c r="B368" s="117" t="s">
        <v>1451</v>
      </c>
      <c r="C368" s="80" t="s">
        <v>2140</v>
      </c>
      <c r="D368" s="80" t="s">
        <v>1609</v>
      </c>
      <c r="E368" s="80" t="s">
        <v>1610</v>
      </c>
      <c r="F368" s="88" t="s">
        <v>21</v>
      </c>
      <c r="G368" s="80" t="s">
        <v>2144</v>
      </c>
      <c r="H368" s="80"/>
      <c r="I368" s="80" t="s">
        <v>1518</v>
      </c>
      <c r="J368" s="80" t="s">
        <v>1834</v>
      </c>
      <c r="K368" s="80"/>
      <c r="L368" s="89" t="s">
        <v>23</v>
      </c>
      <c r="M368" s="80" t="s">
        <v>397</v>
      </c>
      <c r="N368" s="80" t="s">
        <v>21</v>
      </c>
      <c r="O368" s="83"/>
      <c r="P368" s="80"/>
      <c r="Q368" s="80" t="s">
        <v>24</v>
      </c>
      <c r="R368" s="80"/>
    </row>
    <row r="369" spans="1:18" ht="46" hidden="1" x14ac:dyDescent="0.35">
      <c r="A369" s="78" t="s">
        <v>1613</v>
      </c>
      <c r="B369" s="117" t="s">
        <v>1451</v>
      </c>
      <c r="C369" s="80" t="s">
        <v>2140</v>
      </c>
      <c r="D369" s="80" t="s">
        <v>1614</v>
      </c>
      <c r="E369" s="80"/>
      <c r="F369" s="105" t="s">
        <v>413</v>
      </c>
      <c r="G369" s="80" t="s">
        <v>2145</v>
      </c>
      <c r="H369" s="80"/>
      <c r="I369" s="80" t="s">
        <v>1615</v>
      </c>
      <c r="J369" s="80" t="s">
        <v>1831</v>
      </c>
      <c r="K369" s="80" t="s">
        <v>78</v>
      </c>
      <c r="L369" s="85" t="s">
        <v>79</v>
      </c>
      <c r="M369" s="80" t="s">
        <v>397</v>
      </c>
      <c r="N369" s="80" t="s">
        <v>413</v>
      </c>
      <c r="O369" s="83" t="s">
        <v>1829</v>
      </c>
      <c r="P369" s="80" t="s">
        <v>414</v>
      </c>
      <c r="Q369" s="80" t="s">
        <v>39</v>
      </c>
      <c r="R369" s="80" t="s">
        <v>472</v>
      </c>
    </row>
    <row r="370" spans="1:18" ht="23" hidden="1" x14ac:dyDescent="0.35">
      <c r="A370" s="86" t="s">
        <v>1496</v>
      </c>
      <c r="B370" s="117" t="s">
        <v>1451</v>
      </c>
      <c r="C370" s="87" t="s">
        <v>2146</v>
      </c>
      <c r="D370" s="87" t="s">
        <v>1497</v>
      </c>
      <c r="E370" s="87" t="s">
        <v>1498</v>
      </c>
      <c r="F370" s="88" t="s">
        <v>21</v>
      </c>
      <c r="G370" s="87" t="s">
        <v>2147</v>
      </c>
      <c r="H370" s="87" t="s">
        <v>2147</v>
      </c>
      <c r="I370" s="87" t="s">
        <v>199</v>
      </c>
      <c r="J370" s="87" t="s">
        <v>1834</v>
      </c>
      <c r="K370" s="87" t="s">
        <v>651</v>
      </c>
      <c r="L370" s="82" t="s">
        <v>30</v>
      </c>
      <c r="M370" s="87"/>
      <c r="N370" s="87" t="s">
        <v>21</v>
      </c>
      <c r="O370" s="90"/>
      <c r="P370" s="87"/>
      <c r="Q370" s="87" t="s">
        <v>24</v>
      </c>
      <c r="R370" s="87"/>
    </row>
    <row r="371" spans="1:18" ht="23" hidden="1" x14ac:dyDescent="0.35">
      <c r="A371" s="86" t="s">
        <v>1501</v>
      </c>
      <c r="B371" s="117" t="s">
        <v>1451</v>
      </c>
      <c r="C371" s="87" t="s">
        <v>2146</v>
      </c>
      <c r="D371" s="87" t="s">
        <v>1502</v>
      </c>
      <c r="E371" s="87" t="s">
        <v>1503</v>
      </c>
      <c r="F371" s="88" t="s">
        <v>21</v>
      </c>
      <c r="G371" s="87" t="s">
        <v>2148</v>
      </c>
      <c r="H371" s="87"/>
      <c r="I371" s="87" t="s">
        <v>2149</v>
      </c>
      <c r="J371" s="87" t="s">
        <v>1841</v>
      </c>
      <c r="K371" s="87" t="s">
        <v>1504</v>
      </c>
      <c r="L371" s="82" t="s">
        <v>30</v>
      </c>
      <c r="M371" s="87"/>
      <c r="N371" s="87" t="s">
        <v>21</v>
      </c>
      <c r="O371" s="90"/>
      <c r="P371" s="87"/>
      <c r="Q371" s="87" t="s">
        <v>24</v>
      </c>
      <c r="R371" s="87"/>
    </row>
    <row r="372" spans="1:18" ht="34.5" hidden="1" x14ac:dyDescent="0.35">
      <c r="A372" s="78" t="s">
        <v>1505</v>
      </c>
      <c r="B372" s="117" t="s">
        <v>1451</v>
      </c>
      <c r="C372" s="80" t="s">
        <v>2146</v>
      </c>
      <c r="D372" s="80" t="s">
        <v>1506</v>
      </c>
      <c r="E372" s="80" t="s">
        <v>1507</v>
      </c>
      <c r="F372" s="88" t="s">
        <v>21</v>
      </c>
      <c r="G372" s="80" t="s">
        <v>2150</v>
      </c>
      <c r="H372" s="80" t="s">
        <v>2150</v>
      </c>
      <c r="I372" s="80" t="s">
        <v>1898</v>
      </c>
      <c r="J372" s="80" t="s">
        <v>1864</v>
      </c>
      <c r="K372" s="80" t="s">
        <v>252</v>
      </c>
      <c r="L372" s="82" t="s">
        <v>30</v>
      </c>
      <c r="M372" s="80"/>
      <c r="N372" s="80" t="s">
        <v>21</v>
      </c>
      <c r="O372" s="83"/>
      <c r="P372" s="80"/>
      <c r="Q372" s="80" t="s">
        <v>24</v>
      </c>
      <c r="R372" s="80"/>
    </row>
    <row r="373" spans="1:18" ht="23" hidden="1" x14ac:dyDescent="0.35">
      <c r="A373" s="86" t="s">
        <v>1508</v>
      </c>
      <c r="B373" s="117" t="s">
        <v>1451</v>
      </c>
      <c r="C373" s="87" t="s">
        <v>2146</v>
      </c>
      <c r="D373" s="87" t="s">
        <v>1509</v>
      </c>
      <c r="E373" s="87" t="s">
        <v>153</v>
      </c>
      <c r="F373" s="88" t="s">
        <v>21</v>
      </c>
      <c r="G373" s="87" t="s">
        <v>2151</v>
      </c>
      <c r="H373" s="87" t="s">
        <v>2151</v>
      </c>
      <c r="I373" s="87" t="s">
        <v>199</v>
      </c>
      <c r="J373" s="87" t="s">
        <v>1834</v>
      </c>
      <c r="K373" s="87" t="s">
        <v>651</v>
      </c>
      <c r="L373" s="82" t="s">
        <v>30</v>
      </c>
      <c r="M373" s="87"/>
      <c r="N373" s="87" t="s">
        <v>21</v>
      </c>
      <c r="O373" s="90"/>
      <c r="P373" s="87"/>
      <c r="Q373" s="87" t="s">
        <v>24</v>
      </c>
      <c r="R373" s="87"/>
    </row>
    <row r="374" spans="1:18" ht="23" hidden="1" x14ac:dyDescent="0.35">
      <c r="A374" s="78" t="s">
        <v>1510</v>
      </c>
      <c r="B374" s="117" t="s">
        <v>1451</v>
      </c>
      <c r="C374" s="80" t="s">
        <v>2146</v>
      </c>
      <c r="D374" s="80" t="s">
        <v>1511</v>
      </c>
      <c r="E374" s="80" t="s">
        <v>1512</v>
      </c>
      <c r="F374" s="88" t="s">
        <v>21</v>
      </c>
      <c r="G374" s="80" t="s">
        <v>2152</v>
      </c>
      <c r="H374" s="80" t="s">
        <v>2152</v>
      </c>
      <c r="I374" s="80" t="s">
        <v>1959</v>
      </c>
      <c r="J374" s="80" t="s">
        <v>1834</v>
      </c>
      <c r="K374" s="80" t="s">
        <v>236</v>
      </c>
      <c r="L374" s="82" t="s">
        <v>30</v>
      </c>
      <c r="M374" s="80"/>
      <c r="N374" s="80" t="s">
        <v>21</v>
      </c>
      <c r="O374" s="83"/>
      <c r="P374" s="80"/>
      <c r="Q374" s="80" t="s">
        <v>24</v>
      </c>
      <c r="R374" s="80"/>
    </row>
    <row r="375" spans="1:18" ht="34.5" hidden="1" x14ac:dyDescent="0.35">
      <c r="A375" s="86" t="s">
        <v>1513</v>
      </c>
      <c r="B375" s="117" t="s">
        <v>1451</v>
      </c>
      <c r="C375" s="87" t="s">
        <v>2146</v>
      </c>
      <c r="D375" s="87" t="s">
        <v>1514</v>
      </c>
      <c r="E375" s="87" t="s">
        <v>1515</v>
      </c>
      <c r="F375" s="88" t="s">
        <v>21</v>
      </c>
      <c r="G375" s="87" t="s">
        <v>2153</v>
      </c>
      <c r="H375" s="87" t="s">
        <v>2154</v>
      </c>
      <c r="I375" s="87" t="s">
        <v>154</v>
      </c>
      <c r="J375" s="87" t="s">
        <v>1858</v>
      </c>
      <c r="K375" s="87" t="s">
        <v>155</v>
      </c>
      <c r="L375" s="82" t="s">
        <v>30</v>
      </c>
      <c r="M375" s="87"/>
      <c r="N375" s="87" t="s">
        <v>21</v>
      </c>
      <c r="O375" s="90"/>
      <c r="P375" s="87"/>
      <c r="Q375" s="87" t="s">
        <v>24</v>
      </c>
      <c r="R375" s="87"/>
    </row>
    <row r="376" spans="1:18" ht="23" hidden="1" x14ac:dyDescent="0.35">
      <c r="A376" s="78" t="s">
        <v>1516</v>
      </c>
      <c r="B376" s="117" t="s">
        <v>1451</v>
      </c>
      <c r="C376" s="80" t="s">
        <v>2146</v>
      </c>
      <c r="D376" s="80" t="s">
        <v>1517</v>
      </c>
      <c r="E376" s="80" t="s">
        <v>153</v>
      </c>
      <c r="F376" s="88" t="s">
        <v>21</v>
      </c>
      <c r="G376" s="80" t="s">
        <v>2155</v>
      </c>
      <c r="H376" s="80"/>
      <c r="I376" s="80" t="s">
        <v>1518</v>
      </c>
      <c r="J376" s="80" t="s">
        <v>1834</v>
      </c>
      <c r="K376" s="80"/>
      <c r="L376" s="89" t="s">
        <v>23</v>
      </c>
      <c r="M376" s="80" t="s">
        <v>397</v>
      </c>
      <c r="N376" s="80" t="s">
        <v>21</v>
      </c>
      <c r="O376" s="83"/>
      <c r="P376" s="80"/>
      <c r="Q376" s="80" t="s">
        <v>24</v>
      </c>
      <c r="R376" s="80"/>
    </row>
    <row r="377" spans="1:18" ht="23" hidden="1" x14ac:dyDescent="0.35">
      <c r="A377" s="86" t="s">
        <v>1519</v>
      </c>
      <c r="B377" s="117" t="s">
        <v>1451</v>
      </c>
      <c r="C377" s="87" t="s">
        <v>2146</v>
      </c>
      <c r="D377" s="87" t="s">
        <v>1520</v>
      </c>
      <c r="E377" s="87" t="s">
        <v>1521</v>
      </c>
      <c r="F377" s="88" t="s">
        <v>21</v>
      </c>
      <c r="G377" s="87" t="s">
        <v>2156</v>
      </c>
      <c r="H377" s="87"/>
      <c r="I377" s="87" t="s">
        <v>1522</v>
      </c>
      <c r="J377" s="87" t="s">
        <v>1828</v>
      </c>
      <c r="K377" s="87"/>
      <c r="L377" s="89" t="s">
        <v>23</v>
      </c>
      <c r="M377" s="87" t="s">
        <v>397</v>
      </c>
      <c r="N377" s="87" t="s">
        <v>21</v>
      </c>
      <c r="O377" s="90"/>
      <c r="P377" s="87"/>
      <c r="Q377" s="87" t="s">
        <v>24</v>
      </c>
      <c r="R377" s="87"/>
    </row>
    <row r="378" spans="1:18" ht="23" hidden="1" x14ac:dyDescent="0.35">
      <c r="A378" s="78" t="s">
        <v>1523</v>
      </c>
      <c r="B378" s="117" t="s">
        <v>1451</v>
      </c>
      <c r="C378" s="80" t="s">
        <v>2146</v>
      </c>
      <c r="D378" s="80" t="s">
        <v>1524</v>
      </c>
      <c r="E378" s="80" t="s">
        <v>1525</v>
      </c>
      <c r="F378" s="88" t="s">
        <v>21</v>
      </c>
      <c r="G378" s="80" t="s">
        <v>2157</v>
      </c>
      <c r="H378" s="80" t="s">
        <v>2157</v>
      </c>
      <c r="I378" s="80" t="s">
        <v>2158</v>
      </c>
      <c r="J378" s="80" t="s">
        <v>1848</v>
      </c>
      <c r="K378" s="80" t="s">
        <v>125</v>
      </c>
      <c r="L378" s="82" t="s">
        <v>30</v>
      </c>
      <c r="M378" s="80"/>
      <c r="N378" s="80" t="s">
        <v>21</v>
      </c>
      <c r="O378" s="83"/>
      <c r="P378" s="80"/>
      <c r="Q378" s="80" t="s">
        <v>24</v>
      </c>
      <c r="R378" s="80"/>
    </row>
    <row r="379" spans="1:18" ht="23" hidden="1" x14ac:dyDescent="0.35">
      <c r="A379" s="86" t="s">
        <v>1526</v>
      </c>
      <c r="B379" s="117" t="s">
        <v>1451</v>
      </c>
      <c r="C379" s="87" t="s">
        <v>2146</v>
      </c>
      <c r="D379" s="87" t="s">
        <v>1527</v>
      </c>
      <c r="E379" s="87" t="s">
        <v>1528</v>
      </c>
      <c r="F379" s="88" t="s">
        <v>21</v>
      </c>
      <c r="G379" s="87" t="s">
        <v>2159</v>
      </c>
      <c r="H379" s="87"/>
      <c r="I379" s="87" t="s">
        <v>716</v>
      </c>
      <c r="J379" s="87" t="s">
        <v>1851</v>
      </c>
      <c r="K379" s="87" t="s">
        <v>403</v>
      </c>
      <c r="L379" s="82" t="s">
        <v>30</v>
      </c>
      <c r="M379" s="87"/>
      <c r="N379" s="87" t="s">
        <v>21</v>
      </c>
      <c r="O379" s="90"/>
      <c r="P379" s="87"/>
      <c r="Q379" s="87" t="s">
        <v>24</v>
      </c>
      <c r="R379" s="87"/>
    </row>
    <row r="380" spans="1:18" ht="34.5" hidden="1" x14ac:dyDescent="0.35">
      <c r="A380" s="86" t="s">
        <v>1529</v>
      </c>
      <c r="B380" s="117" t="s">
        <v>1451</v>
      </c>
      <c r="C380" s="87" t="s">
        <v>2146</v>
      </c>
      <c r="D380" s="87" t="s">
        <v>1530</v>
      </c>
      <c r="E380" s="87" t="s">
        <v>1531</v>
      </c>
      <c r="F380" s="88" t="s">
        <v>21</v>
      </c>
      <c r="G380" s="87" t="s">
        <v>2160</v>
      </c>
      <c r="H380" s="87" t="s">
        <v>2160</v>
      </c>
      <c r="I380" s="87" t="s">
        <v>219</v>
      </c>
      <c r="J380" s="87" t="s">
        <v>1846</v>
      </c>
      <c r="K380" s="87" t="s">
        <v>220</v>
      </c>
      <c r="L380" s="82" t="s">
        <v>30</v>
      </c>
      <c r="M380" s="87"/>
      <c r="N380" s="87" t="s">
        <v>21</v>
      </c>
      <c r="O380" s="90"/>
      <c r="P380" s="87"/>
      <c r="Q380" s="87" t="s">
        <v>24</v>
      </c>
      <c r="R380" s="87"/>
    </row>
    <row r="381" spans="1:18" ht="34.5" hidden="1" x14ac:dyDescent="0.35">
      <c r="A381" s="86" t="s">
        <v>1535</v>
      </c>
      <c r="B381" s="117" t="s">
        <v>1451</v>
      </c>
      <c r="C381" s="87" t="s">
        <v>2146</v>
      </c>
      <c r="D381" s="87" t="s">
        <v>1536</v>
      </c>
      <c r="E381" s="87" t="s">
        <v>1537</v>
      </c>
      <c r="F381" s="88" t="s">
        <v>21</v>
      </c>
      <c r="G381" s="87" t="s">
        <v>2161</v>
      </c>
      <c r="H381" s="87" t="s">
        <v>2162</v>
      </c>
      <c r="I381" s="87" t="s">
        <v>444</v>
      </c>
      <c r="J381" s="87" t="s">
        <v>1874</v>
      </c>
      <c r="K381" s="87" t="s">
        <v>445</v>
      </c>
      <c r="L381" s="82" t="s">
        <v>30</v>
      </c>
      <c r="M381" s="87"/>
      <c r="N381" s="87" t="s">
        <v>21</v>
      </c>
      <c r="O381" s="90"/>
      <c r="P381" s="87"/>
      <c r="Q381" s="87" t="s">
        <v>24</v>
      </c>
      <c r="R381" s="87"/>
    </row>
    <row r="382" spans="1:18" ht="23" hidden="1" x14ac:dyDescent="0.35">
      <c r="A382" s="78" t="s">
        <v>1538</v>
      </c>
      <c r="B382" s="117" t="s">
        <v>1451</v>
      </c>
      <c r="C382" s="80" t="s">
        <v>2146</v>
      </c>
      <c r="D382" s="80" t="s">
        <v>1539</v>
      </c>
      <c r="E382" s="80" t="s">
        <v>1540</v>
      </c>
      <c r="F382" s="88" t="s">
        <v>21</v>
      </c>
      <c r="G382" s="80" t="s">
        <v>2163</v>
      </c>
      <c r="H382" s="80" t="s">
        <v>2164</v>
      </c>
      <c r="I382" s="80" t="s">
        <v>1091</v>
      </c>
      <c r="J382" s="80" t="s">
        <v>1874</v>
      </c>
      <c r="K382" s="80" t="s">
        <v>66</v>
      </c>
      <c r="L382" s="82" t="s">
        <v>30</v>
      </c>
      <c r="M382" s="80"/>
      <c r="N382" s="80" t="s">
        <v>21</v>
      </c>
      <c r="O382" s="83"/>
      <c r="P382" s="80"/>
      <c r="Q382" s="80" t="s">
        <v>24</v>
      </c>
      <c r="R382" s="80"/>
    </row>
    <row r="383" spans="1:18" ht="34.5" hidden="1" x14ac:dyDescent="0.35">
      <c r="A383" s="86" t="s">
        <v>1541</v>
      </c>
      <c r="B383" s="117" t="s">
        <v>1451</v>
      </c>
      <c r="C383" s="87" t="s">
        <v>2146</v>
      </c>
      <c r="D383" s="87" t="s">
        <v>1542</v>
      </c>
      <c r="E383" s="87" t="s">
        <v>1543</v>
      </c>
      <c r="F383" s="88" t="s">
        <v>21</v>
      </c>
      <c r="G383" s="87" t="s">
        <v>2165</v>
      </c>
      <c r="H383" s="87" t="s">
        <v>2165</v>
      </c>
      <c r="I383" s="87" t="s">
        <v>154</v>
      </c>
      <c r="J383" s="87" t="s">
        <v>1858</v>
      </c>
      <c r="K383" s="87" t="s">
        <v>155</v>
      </c>
      <c r="L383" s="82" t="s">
        <v>30</v>
      </c>
      <c r="M383" s="87"/>
      <c r="N383" s="87" t="s">
        <v>21</v>
      </c>
      <c r="O383" s="90"/>
      <c r="P383" s="87"/>
      <c r="Q383" s="87" t="s">
        <v>24</v>
      </c>
      <c r="R383" s="87"/>
    </row>
    <row r="384" spans="1:18" ht="23" hidden="1" x14ac:dyDescent="0.35">
      <c r="A384" s="86" t="s">
        <v>1544</v>
      </c>
      <c r="B384" s="117" t="s">
        <v>1451</v>
      </c>
      <c r="C384" s="87" t="s">
        <v>2146</v>
      </c>
      <c r="D384" s="87" t="s">
        <v>1545</v>
      </c>
      <c r="E384" s="87" t="s">
        <v>1546</v>
      </c>
      <c r="F384" s="88" t="s">
        <v>21</v>
      </c>
      <c r="G384" s="87" t="s">
        <v>2166</v>
      </c>
      <c r="H384" s="87" t="s">
        <v>2166</v>
      </c>
      <c r="I384" s="87" t="s">
        <v>1547</v>
      </c>
      <c r="J384" s="87" t="s">
        <v>1834</v>
      </c>
      <c r="K384" s="87" t="s">
        <v>584</v>
      </c>
      <c r="L384" s="82" t="s">
        <v>30</v>
      </c>
      <c r="M384" s="87"/>
      <c r="N384" s="87" t="s">
        <v>21</v>
      </c>
      <c r="O384" s="90"/>
      <c r="P384" s="87"/>
      <c r="Q384" s="87" t="s">
        <v>24</v>
      </c>
      <c r="R384" s="87"/>
    </row>
    <row r="385" spans="1:18" ht="23" hidden="1" x14ac:dyDescent="0.35">
      <c r="A385" s="86" t="s">
        <v>1611</v>
      </c>
      <c r="B385" s="117" t="s">
        <v>1451</v>
      </c>
      <c r="C385" s="87" t="s">
        <v>2146</v>
      </c>
      <c r="D385" s="87" t="s">
        <v>1612</v>
      </c>
      <c r="E385" s="87"/>
      <c r="F385" s="97" t="s">
        <v>103</v>
      </c>
      <c r="G385" s="87" t="s">
        <v>2167</v>
      </c>
      <c r="H385" s="87"/>
      <c r="I385" s="87" t="s">
        <v>1399</v>
      </c>
      <c r="J385" s="87" t="s">
        <v>1831</v>
      </c>
      <c r="K385" s="87" t="s">
        <v>78</v>
      </c>
      <c r="L385" s="85" t="s">
        <v>79</v>
      </c>
      <c r="M385" s="87" t="s">
        <v>397</v>
      </c>
      <c r="N385" s="87" t="s">
        <v>103</v>
      </c>
      <c r="O385" s="90" t="s">
        <v>1829</v>
      </c>
      <c r="P385" s="87" t="s">
        <v>414</v>
      </c>
      <c r="Q385" s="87" t="s">
        <v>39</v>
      </c>
      <c r="R385" s="87" t="s">
        <v>109</v>
      </c>
    </row>
    <row r="386" spans="1:18" ht="23" hidden="1" x14ac:dyDescent="0.35">
      <c r="A386" s="86" t="s">
        <v>1548</v>
      </c>
      <c r="B386" s="117" t="s">
        <v>1451</v>
      </c>
      <c r="C386" s="87" t="s">
        <v>2146</v>
      </c>
      <c r="D386" s="87" t="s">
        <v>1549</v>
      </c>
      <c r="E386" s="87" t="s">
        <v>153</v>
      </c>
      <c r="F386" s="88" t="s">
        <v>21</v>
      </c>
      <c r="G386" s="87" t="s">
        <v>2168</v>
      </c>
      <c r="H386" s="87" t="s">
        <v>2168</v>
      </c>
      <c r="I386" s="87" t="s">
        <v>154</v>
      </c>
      <c r="J386" s="87" t="s">
        <v>1858</v>
      </c>
      <c r="K386" s="87" t="s">
        <v>155</v>
      </c>
      <c r="L386" s="82" t="s">
        <v>30</v>
      </c>
      <c r="M386" s="87"/>
      <c r="N386" s="87" t="s">
        <v>21</v>
      </c>
      <c r="O386" s="90"/>
      <c r="P386" s="87"/>
      <c r="Q386" s="87" t="s">
        <v>24</v>
      </c>
      <c r="R386" s="87"/>
    </row>
    <row r="387" spans="1:18" ht="34.5" hidden="1" x14ac:dyDescent="0.35">
      <c r="A387" s="86" t="s">
        <v>1590</v>
      </c>
      <c r="B387" s="117" t="s">
        <v>1451</v>
      </c>
      <c r="C387" s="87" t="s">
        <v>2169</v>
      </c>
      <c r="D387" s="87" t="s">
        <v>1591</v>
      </c>
      <c r="E387" s="87" t="s">
        <v>1592</v>
      </c>
      <c r="F387" s="88" t="s">
        <v>21</v>
      </c>
      <c r="G387" s="87" t="s">
        <v>2170</v>
      </c>
      <c r="H387" s="87" t="s">
        <v>2170</v>
      </c>
      <c r="I387" s="87" t="s">
        <v>268</v>
      </c>
      <c r="J387" s="87" t="s">
        <v>1858</v>
      </c>
      <c r="K387" s="87" t="s">
        <v>269</v>
      </c>
      <c r="L387" s="82" t="s">
        <v>30</v>
      </c>
      <c r="M387" s="87"/>
      <c r="N387" s="87" t="s">
        <v>21</v>
      </c>
      <c r="O387" s="90"/>
      <c r="P387" s="87"/>
      <c r="Q387" s="87" t="s">
        <v>24</v>
      </c>
      <c r="R387" s="87"/>
    </row>
    <row r="388" spans="1:18" ht="46" hidden="1" x14ac:dyDescent="0.35">
      <c r="A388" s="78" t="s">
        <v>1550</v>
      </c>
      <c r="B388" s="117" t="s">
        <v>1451</v>
      </c>
      <c r="C388" s="80" t="s">
        <v>2171</v>
      </c>
      <c r="D388" s="80" t="s">
        <v>1551</v>
      </c>
      <c r="E388" s="80" t="s">
        <v>1552</v>
      </c>
      <c r="F388" s="88" t="s">
        <v>21</v>
      </c>
      <c r="G388" s="80" t="s">
        <v>2172</v>
      </c>
      <c r="H388" s="80"/>
      <c r="I388" s="80" t="s">
        <v>1095</v>
      </c>
      <c r="J388" s="80" t="s">
        <v>1858</v>
      </c>
      <c r="K388" s="80"/>
      <c r="L388" s="89" t="s">
        <v>23</v>
      </c>
      <c r="M388" s="80" t="s">
        <v>397</v>
      </c>
      <c r="N388" s="80" t="s">
        <v>21</v>
      </c>
      <c r="O388" s="83"/>
      <c r="P388" s="80"/>
      <c r="Q388" s="80" t="s">
        <v>24</v>
      </c>
      <c r="R388" s="80"/>
    </row>
    <row r="389" spans="1:18" ht="34.5" hidden="1" x14ac:dyDescent="0.35">
      <c r="A389" s="78" t="s">
        <v>1575</v>
      </c>
      <c r="B389" s="117" t="s">
        <v>1451</v>
      </c>
      <c r="C389" s="80" t="s">
        <v>2171</v>
      </c>
      <c r="D389" s="80" t="s">
        <v>1576</v>
      </c>
      <c r="E389" s="80"/>
      <c r="F389" s="84" t="s">
        <v>419</v>
      </c>
      <c r="G389" s="80" t="s">
        <v>1577</v>
      </c>
      <c r="H389" s="80"/>
      <c r="I389" s="80" t="s">
        <v>1192</v>
      </c>
      <c r="J389" s="80" t="s">
        <v>1835</v>
      </c>
      <c r="K389" s="80" t="s">
        <v>78</v>
      </c>
      <c r="L389" s="85" t="s">
        <v>79</v>
      </c>
      <c r="M389" s="80" t="s">
        <v>397</v>
      </c>
      <c r="N389" s="80" t="s">
        <v>419</v>
      </c>
      <c r="O389" s="83" t="s">
        <v>1829</v>
      </c>
      <c r="P389" s="80" t="s">
        <v>108</v>
      </c>
      <c r="Q389" s="80" t="s">
        <v>39</v>
      </c>
      <c r="R389" s="80" t="s">
        <v>1449</v>
      </c>
    </row>
    <row r="390" spans="1:18" ht="23" hidden="1" x14ac:dyDescent="0.35">
      <c r="A390" s="86" t="s">
        <v>1553</v>
      </c>
      <c r="B390" s="117" t="s">
        <v>1451</v>
      </c>
      <c r="C390" s="87" t="s">
        <v>2171</v>
      </c>
      <c r="D390" s="87" t="s">
        <v>1554</v>
      </c>
      <c r="E390" s="87" t="s">
        <v>1555</v>
      </c>
      <c r="F390" s="88" t="s">
        <v>21</v>
      </c>
      <c r="G390" s="87" t="s">
        <v>2173</v>
      </c>
      <c r="H390" s="87" t="s">
        <v>2173</v>
      </c>
      <c r="I390" s="87" t="s">
        <v>1457</v>
      </c>
      <c r="J390" s="87" t="s">
        <v>1834</v>
      </c>
      <c r="K390" s="87" t="s">
        <v>584</v>
      </c>
      <c r="L390" s="82" t="s">
        <v>30</v>
      </c>
      <c r="M390" s="87"/>
      <c r="N390" s="87" t="s">
        <v>21</v>
      </c>
      <c r="O390" s="90"/>
      <c r="P390" s="87"/>
      <c r="Q390" s="87" t="s">
        <v>24</v>
      </c>
      <c r="R390" s="87"/>
    </row>
    <row r="391" spans="1:18" ht="23" hidden="1" x14ac:dyDescent="0.35">
      <c r="A391" s="78" t="s">
        <v>1454</v>
      </c>
      <c r="B391" s="117" t="s">
        <v>1451</v>
      </c>
      <c r="C391" s="80" t="s">
        <v>2171</v>
      </c>
      <c r="D391" s="80" t="s">
        <v>1455</v>
      </c>
      <c r="E391" s="80" t="s">
        <v>1456</v>
      </c>
      <c r="F391" s="88" t="s">
        <v>21</v>
      </c>
      <c r="G391" s="80" t="s">
        <v>2174</v>
      </c>
      <c r="H391" s="80" t="s">
        <v>2174</v>
      </c>
      <c r="I391" s="80" t="s">
        <v>1457</v>
      </c>
      <c r="J391" s="80" t="s">
        <v>1834</v>
      </c>
      <c r="K391" s="80" t="s">
        <v>584</v>
      </c>
      <c r="L391" s="82" t="s">
        <v>30</v>
      </c>
      <c r="M391" s="80"/>
      <c r="N391" s="80" t="s">
        <v>21</v>
      </c>
      <c r="O391" s="83"/>
      <c r="P391" s="80"/>
      <c r="Q391" s="80" t="s">
        <v>24</v>
      </c>
      <c r="R391" s="80"/>
    </row>
    <row r="392" spans="1:18" ht="34.5" hidden="1" x14ac:dyDescent="0.35">
      <c r="A392" s="78" t="s">
        <v>1556</v>
      </c>
      <c r="B392" s="117" t="s">
        <v>1451</v>
      </c>
      <c r="C392" s="80" t="s">
        <v>2171</v>
      </c>
      <c r="D392" s="80" t="s">
        <v>1557</v>
      </c>
      <c r="E392" s="80" t="s">
        <v>1558</v>
      </c>
      <c r="F392" s="88" t="s">
        <v>21</v>
      </c>
      <c r="G392" s="80" t="s">
        <v>2175</v>
      </c>
      <c r="H392" s="80" t="s">
        <v>2175</v>
      </c>
      <c r="I392" s="80" t="s">
        <v>1898</v>
      </c>
      <c r="J392" s="80" t="s">
        <v>1864</v>
      </c>
      <c r="K392" s="80" t="s">
        <v>252</v>
      </c>
      <c r="L392" s="82" t="s">
        <v>30</v>
      </c>
      <c r="M392" s="80"/>
      <c r="N392" s="80" t="s">
        <v>21</v>
      </c>
      <c r="O392" s="83"/>
      <c r="P392" s="80"/>
      <c r="Q392" s="80" t="s">
        <v>24</v>
      </c>
      <c r="R392" s="80"/>
    </row>
    <row r="393" spans="1:18" ht="23" hidden="1" x14ac:dyDescent="0.35">
      <c r="A393" s="86" t="s">
        <v>1593</v>
      </c>
      <c r="B393" s="117" t="s">
        <v>1451</v>
      </c>
      <c r="C393" s="87" t="s">
        <v>2171</v>
      </c>
      <c r="D393" s="87" t="s">
        <v>1594</v>
      </c>
      <c r="E393" s="87"/>
      <c r="F393" s="84" t="s">
        <v>419</v>
      </c>
      <c r="G393" s="87" t="s">
        <v>1595</v>
      </c>
      <c r="H393" s="87"/>
      <c r="I393" s="87" t="s">
        <v>1596</v>
      </c>
      <c r="J393" s="87" t="s">
        <v>1837</v>
      </c>
      <c r="K393" s="87" t="s">
        <v>106</v>
      </c>
      <c r="L393" s="92" t="s">
        <v>107</v>
      </c>
      <c r="M393" s="87" t="s">
        <v>397</v>
      </c>
      <c r="N393" s="87" t="s">
        <v>419</v>
      </c>
      <c r="O393" s="90" t="s">
        <v>1829</v>
      </c>
      <c r="P393" s="87"/>
      <c r="Q393" s="87" t="s">
        <v>39</v>
      </c>
      <c r="R393" s="87" t="s">
        <v>109</v>
      </c>
    </row>
    <row r="394" spans="1:18" ht="34.5" hidden="1" x14ac:dyDescent="0.35">
      <c r="A394" s="78" t="s">
        <v>1562</v>
      </c>
      <c r="B394" s="117" t="s">
        <v>1451</v>
      </c>
      <c r="C394" s="80" t="s">
        <v>2171</v>
      </c>
      <c r="D394" s="80" t="s">
        <v>1563</v>
      </c>
      <c r="E394" s="80" t="s">
        <v>1564</v>
      </c>
      <c r="F394" s="88" t="s">
        <v>21</v>
      </c>
      <c r="G394" s="80" t="s">
        <v>2176</v>
      </c>
      <c r="H394" s="80" t="s">
        <v>2177</v>
      </c>
      <c r="I394" s="80" t="s">
        <v>65</v>
      </c>
      <c r="J394" s="80" t="s">
        <v>1874</v>
      </c>
      <c r="K394" s="80" t="s">
        <v>66</v>
      </c>
      <c r="L394" s="82" t="s">
        <v>30</v>
      </c>
      <c r="M394" s="80"/>
      <c r="N394" s="80" t="s">
        <v>21</v>
      </c>
      <c r="O394" s="83"/>
      <c r="P394" s="80"/>
      <c r="Q394" s="80" t="s">
        <v>24</v>
      </c>
      <c r="R394" s="80"/>
    </row>
    <row r="395" spans="1:18" ht="23" hidden="1" x14ac:dyDescent="0.35">
      <c r="A395" s="86" t="s">
        <v>1462</v>
      </c>
      <c r="B395" s="117" t="s">
        <v>1451</v>
      </c>
      <c r="C395" s="87" t="s">
        <v>2171</v>
      </c>
      <c r="D395" s="87" t="s">
        <v>1463</v>
      </c>
      <c r="E395" s="87" t="s">
        <v>1464</v>
      </c>
      <c r="F395" s="88" t="s">
        <v>21</v>
      </c>
      <c r="G395" s="87" t="s">
        <v>2178</v>
      </c>
      <c r="H395" s="87"/>
      <c r="I395" s="87" t="s">
        <v>1465</v>
      </c>
      <c r="J395" s="87" t="s">
        <v>1851</v>
      </c>
      <c r="K395" s="87" t="s">
        <v>1466</v>
      </c>
      <c r="L395" s="82" t="s">
        <v>30</v>
      </c>
      <c r="M395" s="87"/>
      <c r="N395" s="87" t="s">
        <v>21</v>
      </c>
      <c r="O395" s="90"/>
      <c r="P395" s="87"/>
      <c r="Q395" s="87" t="s">
        <v>24</v>
      </c>
      <c r="R395" s="87"/>
    </row>
    <row r="396" spans="1:18" ht="34.5" hidden="1" x14ac:dyDescent="0.35">
      <c r="A396" s="78" t="s">
        <v>1597</v>
      </c>
      <c r="B396" s="117" t="s">
        <v>1451</v>
      </c>
      <c r="C396" s="80" t="s">
        <v>2171</v>
      </c>
      <c r="D396" s="80" t="s">
        <v>1598</v>
      </c>
      <c r="E396" s="80" t="s">
        <v>1599</v>
      </c>
      <c r="F396" s="88" t="s">
        <v>21</v>
      </c>
      <c r="G396" s="80" t="s">
        <v>2179</v>
      </c>
      <c r="H396" s="80" t="s">
        <v>2179</v>
      </c>
      <c r="I396" s="80" t="s">
        <v>2180</v>
      </c>
      <c r="J396" s="80" t="s">
        <v>1846</v>
      </c>
      <c r="K396" s="80" t="s">
        <v>220</v>
      </c>
      <c r="L396" s="82" t="s">
        <v>30</v>
      </c>
      <c r="M396" s="80"/>
      <c r="N396" s="80" t="s">
        <v>21</v>
      </c>
      <c r="O396" s="83"/>
      <c r="P396" s="80"/>
      <c r="Q396" s="80" t="s">
        <v>24</v>
      </c>
      <c r="R396" s="80"/>
    </row>
    <row r="397" spans="1:18" ht="23" hidden="1" x14ac:dyDescent="0.35">
      <c r="A397" s="86" t="s">
        <v>1565</v>
      </c>
      <c r="B397" s="117" t="s">
        <v>1451</v>
      </c>
      <c r="C397" s="87" t="s">
        <v>2171</v>
      </c>
      <c r="D397" s="87" t="s">
        <v>1566</v>
      </c>
      <c r="E397" s="87" t="s">
        <v>1567</v>
      </c>
      <c r="F397" s="88" t="s">
        <v>21</v>
      </c>
      <c r="G397" s="87" t="s">
        <v>2181</v>
      </c>
      <c r="H397" s="87"/>
      <c r="I397" s="87"/>
      <c r="J397" s="87"/>
      <c r="K397" s="87"/>
      <c r="L397" s="89" t="s">
        <v>23</v>
      </c>
      <c r="M397" s="87" t="s">
        <v>397</v>
      </c>
      <c r="N397" s="87" t="s">
        <v>21</v>
      </c>
      <c r="O397" s="90"/>
      <c r="P397" s="87"/>
      <c r="Q397" s="87" t="s">
        <v>24</v>
      </c>
      <c r="R397" s="87"/>
    </row>
    <row r="398" spans="1:18" ht="34.5" hidden="1" x14ac:dyDescent="0.35">
      <c r="A398" s="78" t="s">
        <v>1467</v>
      </c>
      <c r="B398" s="117" t="s">
        <v>1451</v>
      </c>
      <c r="C398" s="80" t="s">
        <v>2171</v>
      </c>
      <c r="D398" s="80" t="s">
        <v>1468</v>
      </c>
      <c r="E398" s="80" t="s">
        <v>1456</v>
      </c>
      <c r="F398" s="88" t="s">
        <v>21</v>
      </c>
      <c r="G398" s="80" t="s">
        <v>2182</v>
      </c>
      <c r="H398" s="80" t="s">
        <v>2182</v>
      </c>
      <c r="I398" s="80" t="s">
        <v>1469</v>
      </c>
      <c r="J398" s="80" t="s">
        <v>1834</v>
      </c>
      <c r="K398" s="80" t="s">
        <v>584</v>
      </c>
      <c r="L398" s="82" t="s">
        <v>30</v>
      </c>
      <c r="M398" s="80"/>
      <c r="N398" s="80" t="s">
        <v>21</v>
      </c>
      <c r="O398" s="83"/>
      <c r="P398" s="80"/>
      <c r="Q398" s="80" t="s">
        <v>24</v>
      </c>
      <c r="R398" s="80"/>
    </row>
    <row r="399" spans="1:18" ht="23" hidden="1" x14ac:dyDescent="0.35">
      <c r="A399" s="78" t="s">
        <v>1568</v>
      </c>
      <c r="B399" s="117" t="s">
        <v>1451</v>
      </c>
      <c r="C399" s="80" t="s">
        <v>2171</v>
      </c>
      <c r="D399" s="80" t="s">
        <v>1569</v>
      </c>
      <c r="E399" s="80" t="s">
        <v>1570</v>
      </c>
      <c r="F399" s="88" t="s">
        <v>21</v>
      </c>
      <c r="G399" s="80" t="s">
        <v>2183</v>
      </c>
      <c r="H399" s="80" t="s">
        <v>2183</v>
      </c>
      <c r="I399" s="80" t="s">
        <v>2184</v>
      </c>
      <c r="J399" s="80" t="s">
        <v>1864</v>
      </c>
      <c r="K399" s="80" t="s">
        <v>203</v>
      </c>
      <c r="L399" s="82" t="s">
        <v>30</v>
      </c>
      <c r="M399" s="80"/>
      <c r="N399" s="80" t="s">
        <v>21</v>
      </c>
      <c r="O399" s="83"/>
      <c r="P399" s="80"/>
      <c r="Q399" s="80" t="s">
        <v>24</v>
      </c>
      <c r="R399" s="80"/>
    </row>
    <row r="400" spans="1:18" ht="23" hidden="1" x14ac:dyDescent="0.35">
      <c r="A400" s="86" t="s">
        <v>1499</v>
      </c>
      <c r="B400" s="117" t="s">
        <v>1451</v>
      </c>
      <c r="C400" s="87" t="s">
        <v>2185</v>
      </c>
      <c r="D400" s="87" t="s">
        <v>1500</v>
      </c>
      <c r="E400" s="87"/>
      <c r="F400" s="88" t="s">
        <v>21</v>
      </c>
      <c r="G400" s="87" t="s">
        <v>2186</v>
      </c>
      <c r="H400" s="87"/>
      <c r="I400" s="87" t="s">
        <v>444</v>
      </c>
      <c r="J400" s="87" t="s">
        <v>1874</v>
      </c>
      <c r="K400" s="87"/>
      <c r="L400" s="89" t="s">
        <v>23</v>
      </c>
      <c r="M400" s="87" t="s">
        <v>397</v>
      </c>
      <c r="N400" s="87"/>
      <c r="O400" s="90"/>
      <c r="P400" s="87"/>
      <c r="Q400" s="87" t="s">
        <v>24</v>
      </c>
      <c r="R400" s="87"/>
    </row>
    <row r="401" spans="1:18" ht="23" hidden="1" x14ac:dyDescent="0.35">
      <c r="A401" s="86" t="s">
        <v>1571</v>
      </c>
      <c r="B401" s="117" t="s">
        <v>1451</v>
      </c>
      <c r="C401" s="87" t="s">
        <v>2185</v>
      </c>
      <c r="D401" s="87" t="s">
        <v>1572</v>
      </c>
      <c r="E401" s="87"/>
      <c r="F401" s="110" t="s">
        <v>874</v>
      </c>
      <c r="G401" s="87" t="s">
        <v>1573</v>
      </c>
      <c r="H401" s="87"/>
      <c r="I401" s="87" t="s">
        <v>2187</v>
      </c>
      <c r="J401" s="87" t="s">
        <v>1828</v>
      </c>
      <c r="K401" s="87" t="s">
        <v>78</v>
      </c>
      <c r="L401" s="85" t="s">
        <v>79</v>
      </c>
      <c r="M401" s="87" t="s">
        <v>397</v>
      </c>
      <c r="N401" s="87" t="s">
        <v>874</v>
      </c>
      <c r="O401" s="100" t="s">
        <v>2028</v>
      </c>
      <c r="P401" s="87" t="s">
        <v>38</v>
      </c>
      <c r="Q401" s="87" t="s">
        <v>39</v>
      </c>
      <c r="R401" s="87" t="s">
        <v>1574</v>
      </c>
    </row>
    <row r="402" spans="1:18" ht="23" hidden="1" x14ac:dyDescent="0.35">
      <c r="A402" s="86" t="s">
        <v>1532</v>
      </c>
      <c r="B402" s="117" t="s">
        <v>1451</v>
      </c>
      <c r="C402" s="87" t="s">
        <v>2185</v>
      </c>
      <c r="D402" s="87" t="s">
        <v>1533</v>
      </c>
      <c r="E402" s="87" t="s">
        <v>1534</v>
      </c>
      <c r="F402" s="88" t="s">
        <v>21</v>
      </c>
      <c r="G402" s="87" t="s">
        <v>2188</v>
      </c>
      <c r="H402" s="87" t="s">
        <v>2188</v>
      </c>
      <c r="I402" s="87" t="s">
        <v>711</v>
      </c>
      <c r="J402" s="87" t="s">
        <v>1846</v>
      </c>
      <c r="K402" s="87" t="s">
        <v>220</v>
      </c>
      <c r="L402" s="82" t="s">
        <v>30</v>
      </c>
      <c r="M402" s="87"/>
      <c r="N402" s="87" t="s">
        <v>21</v>
      </c>
      <c r="O402" s="90"/>
      <c r="P402" s="87"/>
      <c r="Q402" s="87" t="s">
        <v>24</v>
      </c>
      <c r="R402" s="87"/>
    </row>
    <row r="403" spans="1:18" ht="34.5" hidden="1" x14ac:dyDescent="0.35">
      <c r="A403" s="78" t="s">
        <v>1578</v>
      </c>
      <c r="B403" s="117" t="s">
        <v>1451</v>
      </c>
      <c r="C403" s="80" t="s">
        <v>2189</v>
      </c>
      <c r="D403" s="80" t="s">
        <v>1579</v>
      </c>
      <c r="E403" s="80"/>
      <c r="F403" s="84" t="s">
        <v>419</v>
      </c>
      <c r="G403" s="80" t="s">
        <v>2190</v>
      </c>
      <c r="H403" s="80"/>
      <c r="I403" s="80" t="s">
        <v>1580</v>
      </c>
      <c r="J403" s="80" t="s">
        <v>1831</v>
      </c>
      <c r="K403" s="80" t="s">
        <v>78</v>
      </c>
      <c r="L403" s="85" t="s">
        <v>79</v>
      </c>
      <c r="M403" s="80" t="s">
        <v>397</v>
      </c>
      <c r="N403" s="80" t="s">
        <v>419</v>
      </c>
      <c r="O403" s="83" t="s">
        <v>1829</v>
      </c>
      <c r="P403" s="80" t="s">
        <v>414</v>
      </c>
      <c r="Q403" s="80" t="s">
        <v>39</v>
      </c>
      <c r="R403" s="80" t="s">
        <v>109</v>
      </c>
    </row>
    <row r="404" spans="1:18" hidden="1" x14ac:dyDescent="0.35">
      <c r="A404" s="119" t="s">
        <v>2191</v>
      </c>
      <c r="B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</row>
    <row r="405" spans="1:18" ht="34.5" hidden="1" x14ac:dyDescent="0.35">
      <c r="A405" s="78" t="s">
        <v>1616</v>
      </c>
      <c r="B405" s="120" t="s">
        <v>1617</v>
      </c>
      <c r="C405" s="80" t="s">
        <v>2192</v>
      </c>
      <c r="D405" s="80" t="s">
        <v>1618</v>
      </c>
      <c r="E405" s="80" t="s">
        <v>1619</v>
      </c>
      <c r="F405" s="88" t="s">
        <v>21</v>
      </c>
      <c r="G405" s="80" t="s">
        <v>1620</v>
      </c>
      <c r="H405" s="80" t="s">
        <v>2193</v>
      </c>
      <c r="I405" s="80" t="s">
        <v>260</v>
      </c>
      <c r="J405" s="80" t="s">
        <v>1867</v>
      </c>
      <c r="K405" s="80" t="s">
        <v>1621</v>
      </c>
      <c r="L405" s="89" t="s">
        <v>23</v>
      </c>
      <c r="M405" s="80" t="s">
        <v>94</v>
      </c>
      <c r="N405" s="80" t="s">
        <v>1622</v>
      </c>
      <c r="O405" s="83"/>
      <c r="P405" s="80"/>
      <c r="Q405" s="80" t="s">
        <v>24</v>
      </c>
      <c r="R405" s="80"/>
    </row>
    <row r="406" spans="1:18" ht="34.5" hidden="1" x14ac:dyDescent="0.35">
      <c r="A406" s="86" t="s">
        <v>1690</v>
      </c>
      <c r="B406" s="120" t="s">
        <v>1617</v>
      </c>
      <c r="C406" s="87" t="s">
        <v>2192</v>
      </c>
      <c r="D406" s="87" t="s">
        <v>1691</v>
      </c>
      <c r="E406" s="87" t="s">
        <v>1692</v>
      </c>
      <c r="F406" s="88" t="s">
        <v>21</v>
      </c>
      <c r="G406" s="87" t="s">
        <v>2194</v>
      </c>
      <c r="H406" s="87"/>
      <c r="I406" s="87" t="s">
        <v>1522</v>
      </c>
      <c r="J406" s="87" t="s">
        <v>1828</v>
      </c>
      <c r="K406" s="87" t="s">
        <v>85</v>
      </c>
      <c r="L406" s="82" t="s">
        <v>30</v>
      </c>
      <c r="M406" s="87"/>
      <c r="N406" s="87" t="s">
        <v>21</v>
      </c>
      <c r="O406" s="90"/>
      <c r="P406" s="87"/>
      <c r="Q406" s="87" t="s">
        <v>24</v>
      </c>
      <c r="R406" s="87"/>
    </row>
    <row r="407" spans="1:18" ht="34.5" hidden="1" x14ac:dyDescent="0.35">
      <c r="A407" s="78" t="s">
        <v>1644</v>
      </c>
      <c r="B407" s="120" t="s">
        <v>1617</v>
      </c>
      <c r="C407" s="80" t="s">
        <v>2192</v>
      </c>
      <c r="D407" s="80" t="s">
        <v>1645</v>
      </c>
      <c r="E407" s="80" t="s">
        <v>1646</v>
      </c>
      <c r="F407" s="88" t="s">
        <v>21</v>
      </c>
      <c r="G407" s="80" t="s">
        <v>2195</v>
      </c>
      <c r="H407" s="80"/>
      <c r="I407" s="80" t="s">
        <v>1522</v>
      </c>
      <c r="J407" s="80" t="s">
        <v>1828</v>
      </c>
      <c r="K407" s="80" t="s">
        <v>85</v>
      </c>
      <c r="L407" s="82" t="s">
        <v>30</v>
      </c>
      <c r="M407" s="80"/>
      <c r="N407" s="80" t="s">
        <v>21</v>
      </c>
      <c r="O407" s="83"/>
      <c r="P407" s="80"/>
      <c r="Q407" s="80" t="s">
        <v>24</v>
      </c>
      <c r="R407" s="80"/>
    </row>
    <row r="408" spans="1:18" ht="34.5" hidden="1" x14ac:dyDescent="0.35">
      <c r="A408" s="86" t="s">
        <v>1647</v>
      </c>
      <c r="B408" s="120" t="s">
        <v>1617</v>
      </c>
      <c r="C408" s="87" t="s">
        <v>2192</v>
      </c>
      <c r="D408" s="87" t="s">
        <v>1648</v>
      </c>
      <c r="E408" s="87"/>
      <c r="F408" s="97" t="s">
        <v>103</v>
      </c>
      <c r="G408" s="87" t="s">
        <v>1649</v>
      </c>
      <c r="H408" s="87"/>
      <c r="I408" s="87" t="s">
        <v>2054</v>
      </c>
      <c r="J408" s="87" t="s">
        <v>1835</v>
      </c>
      <c r="K408" s="87" t="s">
        <v>106</v>
      </c>
      <c r="L408" s="92" t="s">
        <v>107</v>
      </c>
      <c r="M408" s="87" t="s">
        <v>397</v>
      </c>
      <c r="N408" s="87" t="s">
        <v>103</v>
      </c>
      <c r="O408" s="90" t="s">
        <v>1829</v>
      </c>
      <c r="P408" s="87" t="s">
        <v>108</v>
      </c>
      <c r="Q408" s="87" t="s">
        <v>39</v>
      </c>
      <c r="R408" s="87" t="s">
        <v>109</v>
      </c>
    </row>
    <row r="409" spans="1:18" ht="34.5" hidden="1" x14ac:dyDescent="0.35">
      <c r="A409" s="78" t="s">
        <v>1650</v>
      </c>
      <c r="B409" s="120" t="s">
        <v>1617</v>
      </c>
      <c r="C409" s="80" t="s">
        <v>2192</v>
      </c>
      <c r="D409" s="80" t="s">
        <v>1651</v>
      </c>
      <c r="E409" s="80"/>
      <c r="F409" s="97" t="s">
        <v>103</v>
      </c>
      <c r="G409" s="80" t="s">
        <v>1652</v>
      </c>
      <c r="H409" s="80"/>
      <c r="I409" s="80" t="s">
        <v>2196</v>
      </c>
      <c r="J409" s="80" t="s">
        <v>1835</v>
      </c>
      <c r="K409" s="80" t="s">
        <v>106</v>
      </c>
      <c r="L409" s="92" t="s">
        <v>107</v>
      </c>
      <c r="M409" s="80" t="s">
        <v>397</v>
      </c>
      <c r="N409" s="80" t="s">
        <v>103</v>
      </c>
      <c r="O409" s="83" t="s">
        <v>1829</v>
      </c>
      <c r="P409" s="80" t="s">
        <v>108</v>
      </c>
      <c r="Q409" s="80" t="s">
        <v>39</v>
      </c>
      <c r="R409" s="80" t="s">
        <v>109</v>
      </c>
    </row>
    <row r="410" spans="1:18" ht="34.5" hidden="1" x14ac:dyDescent="0.35">
      <c r="A410" s="86" t="s">
        <v>1673</v>
      </c>
      <c r="B410" s="120" t="s">
        <v>1617</v>
      </c>
      <c r="C410" s="87" t="s">
        <v>2192</v>
      </c>
      <c r="D410" s="87" t="s">
        <v>1674</v>
      </c>
      <c r="E410" s="87" t="s">
        <v>1675</v>
      </c>
      <c r="F410" s="88" t="s">
        <v>21</v>
      </c>
      <c r="G410" s="87" t="s">
        <v>2197</v>
      </c>
      <c r="H410" s="87" t="s">
        <v>2197</v>
      </c>
      <c r="I410" s="87" t="s">
        <v>2010</v>
      </c>
      <c r="J410" s="87" t="s">
        <v>1858</v>
      </c>
      <c r="K410" s="87" t="s">
        <v>155</v>
      </c>
      <c r="L410" s="82" t="s">
        <v>30</v>
      </c>
      <c r="M410" s="87"/>
      <c r="N410" s="87" t="s">
        <v>21</v>
      </c>
      <c r="O410" s="90"/>
      <c r="P410" s="87"/>
      <c r="Q410" s="87" t="s">
        <v>24</v>
      </c>
      <c r="R410" s="87"/>
    </row>
    <row r="411" spans="1:18" ht="23" hidden="1" x14ac:dyDescent="0.35">
      <c r="A411" s="78" t="s">
        <v>1682</v>
      </c>
      <c r="B411" s="120" t="s">
        <v>1617</v>
      </c>
      <c r="C411" s="80" t="s">
        <v>2198</v>
      </c>
      <c r="D411" s="80" t="s">
        <v>1683</v>
      </c>
      <c r="E411" s="80"/>
      <c r="F411" s="110" t="s">
        <v>874</v>
      </c>
      <c r="G411" s="80" t="s">
        <v>2199</v>
      </c>
      <c r="H411" s="80"/>
      <c r="I411" s="80" t="s">
        <v>1684</v>
      </c>
      <c r="J411" s="80" t="s">
        <v>1831</v>
      </c>
      <c r="K411" s="80" t="s">
        <v>78</v>
      </c>
      <c r="L411" s="85" t="s">
        <v>79</v>
      </c>
      <c r="M411" s="80" t="s">
        <v>397</v>
      </c>
      <c r="N411" s="80" t="s">
        <v>874</v>
      </c>
      <c r="O411" s="83" t="s">
        <v>1829</v>
      </c>
      <c r="P411" s="80" t="s">
        <v>414</v>
      </c>
      <c r="Q411" s="80" t="s">
        <v>39</v>
      </c>
      <c r="R411" s="80" t="s">
        <v>1685</v>
      </c>
    </row>
    <row r="412" spans="1:18" ht="34.5" hidden="1" x14ac:dyDescent="0.35">
      <c r="A412" s="86" t="s">
        <v>1686</v>
      </c>
      <c r="B412" s="120" t="s">
        <v>1617</v>
      </c>
      <c r="C412" s="87" t="s">
        <v>2198</v>
      </c>
      <c r="D412" s="87" t="s">
        <v>1687</v>
      </c>
      <c r="E412" s="87"/>
      <c r="F412" s="110" t="s">
        <v>874</v>
      </c>
      <c r="G412" s="87" t="s">
        <v>1688</v>
      </c>
      <c r="H412" s="87"/>
      <c r="I412" s="87" t="s">
        <v>1689</v>
      </c>
      <c r="J412" s="87" t="s">
        <v>1835</v>
      </c>
      <c r="K412" s="87" t="s">
        <v>78</v>
      </c>
      <c r="L412" s="85" t="s">
        <v>79</v>
      </c>
      <c r="M412" s="87" t="s">
        <v>397</v>
      </c>
      <c r="N412" s="87" t="s">
        <v>874</v>
      </c>
      <c r="O412" s="90" t="s">
        <v>1829</v>
      </c>
      <c r="P412" s="87" t="s">
        <v>108</v>
      </c>
      <c r="Q412" s="87" t="s">
        <v>39</v>
      </c>
      <c r="R412" s="87" t="s">
        <v>415</v>
      </c>
    </row>
    <row r="413" spans="1:18" ht="34.5" hidden="1" x14ac:dyDescent="0.35">
      <c r="A413" s="86" t="s">
        <v>1623</v>
      </c>
      <c r="B413" s="120" t="s">
        <v>1617</v>
      </c>
      <c r="C413" s="87" t="s">
        <v>2200</v>
      </c>
      <c r="D413" s="87" t="s">
        <v>1624</v>
      </c>
      <c r="E413" s="87" t="s">
        <v>202</v>
      </c>
      <c r="F413" s="88" t="s">
        <v>21</v>
      </c>
      <c r="G413" s="87" t="s">
        <v>2201</v>
      </c>
      <c r="H413" s="87" t="s">
        <v>2201</v>
      </c>
      <c r="I413" s="87" t="s">
        <v>392</v>
      </c>
      <c r="J413" s="87" t="s">
        <v>1858</v>
      </c>
      <c r="K413" s="87" t="s">
        <v>155</v>
      </c>
      <c r="L413" s="82" t="s">
        <v>30</v>
      </c>
      <c r="M413" s="87"/>
      <c r="N413" s="87" t="s">
        <v>21</v>
      </c>
      <c r="O413" s="90"/>
      <c r="P413" s="87"/>
      <c r="Q413" s="87" t="s">
        <v>24</v>
      </c>
      <c r="R413" s="87"/>
    </row>
    <row r="414" spans="1:18" ht="46" hidden="1" x14ac:dyDescent="0.35">
      <c r="A414" s="78" t="s">
        <v>1625</v>
      </c>
      <c r="B414" s="120" t="s">
        <v>1617</v>
      </c>
      <c r="C414" s="80" t="s">
        <v>2200</v>
      </c>
      <c r="D414" s="80" t="s">
        <v>1626</v>
      </c>
      <c r="E414" s="80" t="s">
        <v>202</v>
      </c>
      <c r="F414" s="88" t="s">
        <v>21</v>
      </c>
      <c r="G414" s="80" t="s">
        <v>2202</v>
      </c>
      <c r="H414" s="80" t="s">
        <v>2202</v>
      </c>
      <c r="I414" s="80" t="s">
        <v>392</v>
      </c>
      <c r="J414" s="80" t="s">
        <v>1858</v>
      </c>
      <c r="K414" s="80" t="s">
        <v>155</v>
      </c>
      <c r="L414" s="82" t="s">
        <v>30</v>
      </c>
      <c r="M414" s="80"/>
      <c r="N414" s="80" t="s">
        <v>21</v>
      </c>
      <c r="O414" s="83"/>
      <c r="P414" s="80"/>
      <c r="Q414" s="80" t="s">
        <v>24</v>
      </c>
      <c r="R414" s="80"/>
    </row>
    <row r="415" spans="1:18" ht="34.5" hidden="1" x14ac:dyDescent="0.35">
      <c r="A415" s="86" t="s">
        <v>1627</v>
      </c>
      <c r="B415" s="120" t="s">
        <v>1617</v>
      </c>
      <c r="C415" s="87" t="s">
        <v>2200</v>
      </c>
      <c r="D415" s="87" t="s">
        <v>1628</v>
      </c>
      <c r="E415" s="87"/>
      <c r="F415" s="105" t="s">
        <v>413</v>
      </c>
      <c r="G415" s="87" t="s">
        <v>2203</v>
      </c>
      <c r="H415" s="87"/>
      <c r="I415" s="87" t="s">
        <v>2204</v>
      </c>
      <c r="J415" s="87" t="s">
        <v>1831</v>
      </c>
      <c r="K415" s="87" t="s">
        <v>78</v>
      </c>
      <c r="L415" s="85" t="s">
        <v>79</v>
      </c>
      <c r="M415" s="87" t="s">
        <v>397</v>
      </c>
      <c r="N415" s="87" t="s">
        <v>413</v>
      </c>
      <c r="O415" s="90" t="s">
        <v>1829</v>
      </c>
      <c r="P415" s="87" t="s">
        <v>414</v>
      </c>
      <c r="Q415" s="87" t="s">
        <v>39</v>
      </c>
      <c r="R415" s="87" t="s">
        <v>472</v>
      </c>
    </row>
    <row r="416" spans="1:18" ht="34.5" x14ac:dyDescent="0.35">
      <c r="A416" s="78" t="s">
        <v>1629</v>
      </c>
      <c r="B416" s="120" t="s">
        <v>1617</v>
      </c>
      <c r="C416" s="80" t="s">
        <v>2200</v>
      </c>
      <c r="D416" s="80" t="s">
        <v>1630</v>
      </c>
      <c r="E416" s="80"/>
      <c r="F416" s="114" t="s">
        <v>1282</v>
      </c>
      <c r="G416" s="80" t="s">
        <v>2205</v>
      </c>
      <c r="H416" s="80"/>
      <c r="I416" s="80" t="s">
        <v>1631</v>
      </c>
      <c r="J416" s="80" t="s">
        <v>1906</v>
      </c>
      <c r="K416" s="80" t="s">
        <v>78</v>
      </c>
      <c r="L416" s="85" t="s">
        <v>79</v>
      </c>
      <c r="M416" s="80" t="s">
        <v>397</v>
      </c>
      <c r="N416" s="80" t="s">
        <v>1282</v>
      </c>
      <c r="O416" s="83" t="s">
        <v>1829</v>
      </c>
      <c r="P416" s="80"/>
      <c r="Q416" s="80" t="s">
        <v>39</v>
      </c>
      <c r="R416" s="80" t="s">
        <v>472</v>
      </c>
    </row>
    <row r="417" spans="1:18" ht="34.5" x14ac:dyDescent="0.35">
      <c r="A417" s="86" t="s">
        <v>1693</v>
      </c>
      <c r="B417" s="120" t="s">
        <v>1617</v>
      </c>
      <c r="C417" s="87" t="s">
        <v>2200</v>
      </c>
      <c r="D417" s="87" t="s">
        <v>1694</v>
      </c>
      <c r="E417" s="87"/>
      <c r="F417" s="110" t="s">
        <v>874</v>
      </c>
      <c r="G417" s="87" t="s">
        <v>2206</v>
      </c>
      <c r="H417" s="87"/>
      <c r="I417" s="87" t="s">
        <v>2207</v>
      </c>
      <c r="J417" s="87" t="s">
        <v>1906</v>
      </c>
      <c r="K417" s="87" t="s">
        <v>78</v>
      </c>
      <c r="L417" s="85" t="s">
        <v>79</v>
      </c>
      <c r="M417" s="87" t="s">
        <v>397</v>
      </c>
      <c r="N417" s="87" t="s">
        <v>874</v>
      </c>
      <c r="O417" s="90" t="s">
        <v>1829</v>
      </c>
      <c r="P417" s="87"/>
      <c r="Q417" s="87" t="s">
        <v>39</v>
      </c>
      <c r="R417" s="87" t="s">
        <v>472</v>
      </c>
    </row>
    <row r="418" spans="1:18" ht="34.5" hidden="1" x14ac:dyDescent="0.35">
      <c r="A418" s="86" t="s">
        <v>1632</v>
      </c>
      <c r="B418" s="120" t="s">
        <v>1617</v>
      </c>
      <c r="C418" s="87" t="s">
        <v>2200</v>
      </c>
      <c r="D418" s="87" t="s">
        <v>1633</v>
      </c>
      <c r="E418" s="87"/>
      <c r="F418" s="110" t="s">
        <v>874</v>
      </c>
      <c r="G418" s="87" t="s">
        <v>2208</v>
      </c>
      <c r="H418" s="87"/>
      <c r="I418" s="87" t="s">
        <v>1634</v>
      </c>
      <c r="J418" s="87" t="s">
        <v>1831</v>
      </c>
      <c r="K418" s="87" t="s">
        <v>78</v>
      </c>
      <c r="L418" s="85" t="s">
        <v>79</v>
      </c>
      <c r="M418" s="87" t="s">
        <v>397</v>
      </c>
      <c r="N418" s="87" t="s">
        <v>874</v>
      </c>
      <c r="O418" s="90" t="s">
        <v>1829</v>
      </c>
      <c r="P418" s="87" t="s">
        <v>414</v>
      </c>
      <c r="Q418" s="87" t="s">
        <v>39</v>
      </c>
      <c r="R418" s="87" t="s">
        <v>472</v>
      </c>
    </row>
    <row r="419" spans="1:18" ht="34.5" hidden="1" x14ac:dyDescent="0.35">
      <c r="A419" s="78" t="s">
        <v>1698</v>
      </c>
      <c r="B419" s="120" t="s">
        <v>1617</v>
      </c>
      <c r="C419" s="80" t="s">
        <v>2200</v>
      </c>
      <c r="D419" s="80" t="s">
        <v>1699</v>
      </c>
      <c r="E419" s="80" t="s">
        <v>202</v>
      </c>
      <c r="F419" s="88" t="s">
        <v>21</v>
      </c>
      <c r="G419" s="80" t="s">
        <v>2209</v>
      </c>
      <c r="H419" s="80" t="s">
        <v>2209</v>
      </c>
      <c r="I419" s="80" t="s">
        <v>1947</v>
      </c>
      <c r="J419" s="80" t="s">
        <v>1858</v>
      </c>
      <c r="K419" s="80" t="s">
        <v>155</v>
      </c>
      <c r="L419" s="82" t="s">
        <v>30</v>
      </c>
      <c r="M419" s="80"/>
      <c r="N419" s="80" t="s">
        <v>21</v>
      </c>
      <c r="O419" s="83"/>
      <c r="P419" s="80"/>
      <c r="Q419" s="80" t="s">
        <v>24</v>
      </c>
      <c r="R419" s="80"/>
    </row>
    <row r="420" spans="1:18" ht="34.5" x14ac:dyDescent="0.35">
      <c r="A420" s="78" t="s">
        <v>1710</v>
      </c>
      <c r="B420" s="120" t="s">
        <v>1617</v>
      </c>
      <c r="C420" s="80" t="s">
        <v>2200</v>
      </c>
      <c r="D420" s="80" t="s">
        <v>1711</v>
      </c>
      <c r="E420" s="80"/>
      <c r="F420" s="105" t="s">
        <v>413</v>
      </c>
      <c r="G420" s="80" t="s">
        <v>2210</v>
      </c>
      <c r="H420" s="80"/>
      <c r="I420" s="80" t="s">
        <v>1712</v>
      </c>
      <c r="J420" s="80" t="s">
        <v>1906</v>
      </c>
      <c r="K420" s="80" t="s">
        <v>78</v>
      </c>
      <c r="L420" s="85" t="s">
        <v>79</v>
      </c>
      <c r="M420" s="80" t="s">
        <v>397</v>
      </c>
      <c r="N420" s="80" t="s">
        <v>413</v>
      </c>
      <c r="O420" s="83" t="s">
        <v>1829</v>
      </c>
      <c r="P420" s="80"/>
      <c r="Q420" s="80" t="s">
        <v>39</v>
      </c>
      <c r="R420" s="80" t="s">
        <v>472</v>
      </c>
    </row>
    <row r="421" spans="1:18" ht="34.5" hidden="1" x14ac:dyDescent="0.35">
      <c r="A421" s="86" t="s">
        <v>1638</v>
      </c>
      <c r="B421" s="120" t="s">
        <v>1617</v>
      </c>
      <c r="C421" s="87" t="s">
        <v>2200</v>
      </c>
      <c r="D421" s="87" t="s">
        <v>1639</v>
      </c>
      <c r="E421" s="87"/>
      <c r="F421" s="110" t="s">
        <v>874</v>
      </c>
      <c r="G421" s="87" t="s">
        <v>2211</v>
      </c>
      <c r="H421" s="87"/>
      <c r="I421" s="87" t="s">
        <v>1640</v>
      </c>
      <c r="J421" s="87" t="s">
        <v>1831</v>
      </c>
      <c r="K421" s="87" t="s">
        <v>78</v>
      </c>
      <c r="L421" s="85" t="s">
        <v>79</v>
      </c>
      <c r="M421" s="87" t="s">
        <v>397</v>
      </c>
      <c r="N421" s="87" t="s">
        <v>874</v>
      </c>
      <c r="O421" s="90" t="s">
        <v>1829</v>
      </c>
      <c r="P421" s="87" t="s">
        <v>414</v>
      </c>
      <c r="Q421" s="87" t="s">
        <v>39</v>
      </c>
      <c r="R421" s="87" t="s">
        <v>472</v>
      </c>
    </row>
    <row r="422" spans="1:18" ht="34.5" hidden="1" x14ac:dyDescent="0.35">
      <c r="A422" s="78" t="s">
        <v>1641</v>
      </c>
      <c r="B422" s="120" t="s">
        <v>1617</v>
      </c>
      <c r="C422" s="80" t="s">
        <v>2200</v>
      </c>
      <c r="D422" s="80" t="s">
        <v>1642</v>
      </c>
      <c r="E422" s="80"/>
      <c r="F422" s="110" t="s">
        <v>874</v>
      </c>
      <c r="G422" s="80" t="s">
        <v>1643</v>
      </c>
      <c r="H422" s="80"/>
      <c r="I422" s="80" t="s">
        <v>2212</v>
      </c>
      <c r="J422" s="80" t="s">
        <v>1867</v>
      </c>
      <c r="K422" s="80" t="s">
        <v>106</v>
      </c>
      <c r="L422" s="92" t="s">
        <v>107</v>
      </c>
      <c r="M422" s="80" t="s">
        <v>397</v>
      </c>
      <c r="N422" s="80" t="s">
        <v>874</v>
      </c>
      <c r="O422" s="83" t="s">
        <v>1829</v>
      </c>
      <c r="P422" s="80" t="s">
        <v>173</v>
      </c>
      <c r="Q422" s="80" t="s">
        <v>39</v>
      </c>
      <c r="R422" s="80" t="s">
        <v>903</v>
      </c>
    </row>
    <row r="423" spans="1:18" ht="23" hidden="1" x14ac:dyDescent="0.35">
      <c r="A423" s="78" t="s">
        <v>1670</v>
      </c>
      <c r="B423" s="120" t="s">
        <v>1617</v>
      </c>
      <c r="C423" s="80" t="s">
        <v>2213</v>
      </c>
      <c r="D423" s="80" t="s">
        <v>1671</v>
      </c>
      <c r="E423" s="80" t="s">
        <v>1672</v>
      </c>
      <c r="F423" s="88" t="s">
        <v>21</v>
      </c>
      <c r="G423" s="80" t="s">
        <v>2214</v>
      </c>
      <c r="H423" s="80"/>
      <c r="I423" s="80" t="s">
        <v>1953</v>
      </c>
      <c r="J423" s="80" t="s">
        <v>1848</v>
      </c>
      <c r="K423" s="80"/>
      <c r="L423" s="89" t="s">
        <v>23</v>
      </c>
      <c r="M423" s="80" t="s">
        <v>397</v>
      </c>
      <c r="N423" s="80" t="s">
        <v>21</v>
      </c>
      <c r="O423" s="83"/>
      <c r="P423" s="80"/>
      <c r="Q423" s="80" t="s">
        <v>24</v>
      </c>
      <c r="R423" s="80"/>
    </row>
    <row r="424" spans="1:18" ht="46" hidden="1" x14ac:dyDescent="0.35">
      <c r="A424" s="86" t="s">
        <v>1676</v>
      </c>
      <c r="B424" s="120" t="s">
        <v>1617</v>
      </c>
      <c r="C424" s="87" t="s">
        <v>2213</v>
      </c>
      <c r="D424" s="87" t="s">
        <v>1677</v>
      </c>
      <c r="E424" s="87" t="s">
        <v>1678</v>
      </c>
      <c r="F424" s="88" t="s">
        <v>21</v>
      </c>
      <c r="G424" s="87" t="s">
        <v>2215</v>
      </c>
      <c r="H424" s="87"/>
      <c r="I424" s="87" t="s">
        <v>463</v>
      </c>
      <c r="J424" s="87" t="s">
        <v>1848</v>
      </c>
      <c r="K424" s="87"/>
      <c r="L424" s="89" t="s">
        <v>23</v>
      </c>
      <c r="M424" s="87" t="s">
        <v>397</v>
      </c>
      <c r="N424" s="87" t="s">
        <v>21</v>
      </c>
      <c r="O424" s="90"/>
      <c r="P424" s="87"/>
      <c r="Q424" s="87" t="s">
        <v>24</v>
      </c>
      <c r="R424" s="87"/>
    </row>
    <row r="425" spans="1:18" ht="23" x14ac:dyDescent="0.35">
      <c r="A425" s="78" t="s">
        <v>1679</v>
      </c>
      <c r="B425" s="120" t="s">
        <v>1617</v>
      </c>
      <c r="C425" s="80" t="s">
        <v>2213</v>
      </c>
      <c r="D425" s="80" t="s">
        <v>1680</v>
      </c>
      <c r="E425" s="80"/>
      <c r="F425" s="105" t="s">
        <v>413</v>
      </c>
      <c r="G425" s="80" t="s">
        <v>2216</v>
      </c>
      <c r="H425" s="80"/>
      <c r="I425" s="80" t="s">
        <v>1681</v>
      </c>
      <c r="J425" s="80" t="s">
        <v>1906</v>
      </c>
      <c r="K425" s="80" t="s">
        <v>78</v>
      </c>
      <c r="L425" s="85" t="s">
        <v>79</v>
      </c>
      <c r="M425" s="80" t="s">
        <v>397</v>
      </c>
      <c r="N425" s="80" t="s">
        <v>413</v>
      </c>
      <c r="O425" s="83" t="s">
        <v>1829</v>
      </c>
      <c r="P425" s="80" t="s">
        <v>414</v>
      </c>
      <c r="Q425" s="80" t="s">
        <v>39</v>
      </c>
      <c r="R425" s="80" t="s">
        <v>472</v>
      </c>
    </row>
    <row r="426" spans="1:18" ht="23" hidden="1" x14ac:dyDescent="0.35">
      <c r="A426" s="86" t="s">
        <v>1653</v>
      </c>
      <c r="B426" s="120" t="s">
        <v>1617</v>
      </c>
      <c r="C426" s="87" t="s">
        <v>2217</v>
      </c>
      <c r="D426" s="87" t="s">
        <v>1654</v>
      </c>
      <c r="E426" s="87" t="s">
        <v>1655</v>
      </c>
      <c r="F426" s="88" t="s">
        <v>21</v>
      </c>
      <c r="G426" s="87" t="s">
        <v>2218</v>
      </c>
      <c r="H426" s="87"/>
      <c r="I426" s="87" t="s">
        <v>2219</v>
      </c>
      <c r="J426" s="87" t="s">
        <v>1837</v>
      </c>
      <c r="K426" s="87"/>
      <c r="L426" s="89" t="s">
        <v>23</v>
      </c>
      <c r="M426" s="87" t="s">
        <v>397</v>
      </c>
      <c r="N426" s="87" t="s">
        <v>1656</v>
      </c>
      <c r="O426" s="90"/>
      <c r="P426" s="87"/>
      <c r="Q426" s="87" t="s">
        <v>24</v>
      </c>
      <c r="R426" s="87"/>
    </row>
    <row r="427" spans="1:18" ht="34.5" hidden="1" x14ac:dyDescent="0.35">
      <c r="A427" s="78" t="s">
        <v>1695</v>
      </c>
      <c r="B427" s="120" t="s">
        <v>1617</v>
      </c>
      <c r="C427" s="80" t="s">
        <v>2217</v>
      </c>
      <c r="D427" s="80" t="s">
        <v>1696</v>
      </c>
      <c r="E427" s="80"/>
      <c r="F427" s="121" t="s">
        <v>1697</v>
      </c>
      <c r="G427" s="80" t="s">
        <v>2220</v>
      </c>
      <c r="H427" s="80"/>
      <c r="I427" s="80" t="s">
        <v>2221</v>
      </c>
      <c r="J427" s="80" t="s">
        <v>1831</v>
      </c>
      <c r="K427" s="80" t="s">
        <v>78</v>
      </c>
      <c r="L427" s="85" t="s">
        <v>79</v>
      </c>
      <c r="M427" s="80" t="s">
        <v>397</v>
      </c>
      <c r="N427" s="80" t="s">
        <v>1697</v>
      </c>
      <c r="O427" s="83" t="s">
        <v>1829</v>
      </c>
      <c r="P427" s="80" t="s">
        <v>414</v>
      </c>
      <c r="Q427" s="80" t="s">
        <v>39</v>
      </c>
      <c r="R427" s="80" t="s">
        <v>472</v>
      </c>
    </row>
    <row r="428" spans="1:18" ht="23" hidden="1" x14ac:dyDescent="0.35">
      <c r="A428" s="78" t="s">
        <v>1713</v>
      </c>
      <c r="B428" s="120" t="s">
        <v>1617</v>
      </c>
      <c r="C428" s="80" t="s">
        <v>2217</v>
      </c>
      <c r="D428" s="80" t="s">
        <v>1714</v>
      </c>
      <c r="E428" s="80" t="s">
        <v>1715</v>
      </c>
      <c r="F428" s="88" t="s">
        <v>21</v>
      </c>
      <c r="G428" s="80" t="s">
        <v>2222</v>
      </c>
      <c r="H428" s="80"/>
      <c r="I428" s="80" t="s">
        <v>2223</v>
      </c>
      <c r="J428" s="80" t="s">
        <v>1837</v>
      </c>
      <c r="K428" s="80"/>
      <c r="L428" s="89" t="s">
        <v>23</v>
      </c>
      <c r="M428" s="80" t="s">
        <v>397</v>
      </c>
      <c r="N428" s="80" t="s">
        <v>1656</v>
      </c>
      <c r="O428" s="83"/>
      <c r="P428" s="80"/>
      <c r="Q428" s="80" t="s">
        <v>24</v>
      </c>
      <c r="R428" s="80"/>
    </row>
    <row r="429" spans="1:18" ht="23" hidden="1" x14ac:dyDescent="0.35">
      <c r="A429" s="78" t="s">
        <v>1657</v>
      </c>
      <c r="B429" s="120" t="s">
        <v>1617</v>
      </c>
      <c r="C429" s="80" t="s">
        <v>2224</v>
      </c>
      <c r="D429" s="80" t="s">
        <v>1658</v>
      </c>
      <c r="E429" s="80"/>
      <c r="F429" s="101" t="s">
        <v>1912</v>
      </c>
      <c r="G429" s="80" t="s">
        <v>1659</v>
      </c>
      <c r="H429" s="80" t="s">
        <v>1660</v>
      </c>
      <c r="I429" s="80"/>
      <c r="J429" s="80"/>
      <c r="K429" s="80" t="s">
        <v>385</v>
      </c>
      <c r="L429" s="103" t="s">
        <v>386</v>
      </c>
      <c r="M429" s="80" t="s">
        <v>1661</v>
      </c>
      <c r="N429" s="80" t="s">
        <v>1662</v>
      </c>
      <c r="O429" s="83"/>
      <c r="P429" s="80"/>
      <c r="Q429" s="80" t="s">
        <v>486</v>
      </c>
      <c r="R429" s="80"/>
    </row>
    <row r="430" spans="1:18" ht="46" hidden="1" x14ac:dyDescent="0.35">
      <c r="A430" s="86" t="s">
        <v>1663</v>
      </c>
      <c r="B430" s="120" t="s">
        <v>1617</v>
      </c>
      <c r="C430" s="87" t="s">
        <v>2224</v>
      </c>
      <c r="D430" s="87" t="s">
        <v>1664</v>
      </c>
      <c r="E430" s="87"/>
      <c r="F430" s="101" t="s">
        <v>1912</v>
      </c>
      <c r="G430" s="87" t="s">
        <v>1665</v>
      </c>
      <c r="H430" s="87" t="s">
        <v>1666</v>
      </c>
      <c r="I430" s="87"/>
      <c r="J430" s="87"/>
      <c r="K430" s="87" t="s">
        <v>1667</v>
      </c>
      <c r="L430" s="92" t="s">
        <v>107</v>
      </c>
      <c r="M430" s="87" t="s">
        <v>1668</v>
      </c>
      <c r="N430" s="87" t="s">
        <v>1669</v>
      </c>
      <c r="O430" s="90"/>
      <c r="P430" s="87"/>
      <c r="Q430" s="87" t="s">
        <v>486</v>
      </c>
      <c r="R430" s="87"/>
    </row>
    <row r="431" spans="1:18" ht="23" hidden="1" x14ac:dyDescent="0.35">
      <c r="A431" s="86" t="s">
        <v>1700</v>
      </c>
      <c r="B431" s="120" t="s">
        <v>1617</v>
      </c>
      <c r="C431" s="87" t="s">
        <v>2224</v>
      </c>
      <c r="D431" s="87" t="s">
        <v>1701</v>
      </c>
      <c r="E431" s="87"/>
      <c r="F431" s="101" t="s">
        <v>1912</v>
      </c>
      <c r="G431" s="87" t="s">
        <v>1702</v>
      </c>
      <c r="H431" s="87" t="s">
        <v>1703</v>
      </c>
      <c r="I431" s="87"/>
      <c r="J431" s="87"/>
      <c r="K431" s="87" t="s">
        <v>302</v>
      </c>
      <c r="L431" s="102" t="s">
        <v>280</v>
      </c>
      <c r="M431" s="87" t="s">
        <v>416</v>
      </c>
      <c r="N431" s="87" t="s">
        <v>1704</v>
      </c>
      <c r="O431" s="90"/>
      <c r="P431" s="87"/>
      <c r="Q431" s="87" t="s">
        <v>486</v>
      </c>
      <c r="R431" s="87"/>
    </row>
    <row r="432" spans="1:18" ht="23" hidden="1" x14ac:dyDescent="0.35">
      <c r="A432" s="78" t="s">
        <v>1635</v>
      </c>
      <c r="B432" s="120" t="s">
        <v>1617</v>
      </c>
      <c r="C432" s="80" t="s">
        <v>2225</v>
      </c>
      <c r="D432" s="80" t="s">
        <v>1636</v>
      </c>
      <c r="E432" s="80"/>
      <c r="F432" s="110" t="s">
        <v>874</v>
      </c>
      <c r="G432" s="80" t="s">
        <v>1637</v>
      </c>
      <c r="H432" s="80"/>
      <c r="I432" s="80" t="s">
        <v>2226</v>
      </c>
      <c r="J432" s="80" t="s">
        <v>1831</v>
      </c>
      <c r="K432" s="80" t="s">
        <v>78</v>
      </c>
      <c r="L432" s="85" t="s">
        <v>79</v>
      </c>
      <c r="M432" s="80" t="s">
        <v>397</v>
      </c>
      <c r="N432" s="80" t="s">
        <v>874</v>
      </c>
      <c r="O432" s="83" t="s">
        <v>1829</v>
      </c>
      <c r="P432" s="80" t="s">
        <v>1343</v>
      </c>
      <c r="Q432" s="80" t="s">
        <v>39</v>
      </c>
      <c r="R432" s="80" t="s">
        <v>109</v>
      </c>
    </row>
    <row r="433" spans="1:18" ht="23" hidden="1" x14ac:dyDescent="0.35">
      <c r="A433" s="86" t="s">
        <v>1705</v>
      </c>
      <c r="B433" s="120" t="s">
        <v>1617</v>
      </c>
      <c r="C433" s="87" t="s">
        <v>2225</v>
      </c>
      <c r="D433" s="87" t="s">
        <v>1706</v>
      </c>
      <c r="E433" s="87"/>
      <c r="F433" s="110" t="s">
        <v>874</v>
      </c>
      <c r="G433" s="87" t="s">
        <v>1707</v>
      </c>
      <c r="H433" s="87"/>
      <c r="I433" s="87" t="s">
        <v>1708</v>
      </c>
      <c r="J433" s="87" t="s">
        <v>1837</v>
      </c>
      <c r="K433" s="87" t="s">
        <v>106</v>
      </c>
      <c r="L433" s="92" t="s">
        <v>107</v>
      </c>
      <c r="M433" s="87" t="s">
        <v>397</v>
      </c>
      <c r="N433" s="87" t="s">
        <v>874</v>
      </c>
      <c r="O433" s="90" t="s">
        <v>1829</v>
      </c>
      <c r="P433" s="87"/>
      <c r="Q433" s="87" t="s">
        <v>39</v>
      </c>
      <c r="R433" s="87" t="s">
        <v>1709</v>
      </c>
    </row>
    <row r="434" spans="1:18" ht="23" x14ac:dyDescent="0.35">
      <c r="D434" s="80" t="s">
        <v>2492</v>
      </c>
      <c r="F434" s="110" t="s">
        <v>874</v>
      </c>
      <c r="G434" s="80">
        <v>75604</v>
      </c>
      <c r="I434" s="80">
        <v>46209</v>
      </c>
      <c r="J434" s="80" t="s">
        <v>1906</v>
      </c>
      <c r="K434" s="80" t="s">
        <v>78</v>
      </c>
      <c r="L434" s="85" t="s">
        <v>79</v>
      </c>
      <c r="M434" s="80" t="s">
        <v>397</v>
      </c>
      <c r="N434" s="87" t="s">
        <v>874</v>
      </c>
      <c r="O434" s="83" t="s">
        <v>1829</v>
      </c>
      <c r="Q434" s="80" t="s">
        <v>39</v>
      </c>
      <c r="R434" s="80" t="s">
        <v>472</v>
      </c>
    </row>
    <row r="435" spans="1:18" ht="57.5" x14ac:dyDescent="0.35">
      <c r="D435" s="80" t="s">
        <v>2493</v>
      </c>
      <c r="F435" s="110" t="s">
        <v>874</v>
      </c>
      <c r="G435" s="80">
        <v>75500</v>
      </c>
      <c r="I435" s="80">
        <v>46198</v>
      </c>
      <c r="J435" s="80" t="s">
        <v>1906</v>
      </c>
      <c r="K435" s="80" t="s">
        <v>78</v>
      </c>
      <c r="L435" s="85" t="s">
        <v>79</v>
      </c>
      <c r="M435" s="80" t="s">
        <v>397</v>
      </c>
      <c r="N435" s="80" t="s">
        <v>874</v>
      </c>
      <c r="O435" s="83" t="s">
        <v>1829</v>
      </c>
      <c r="Q435" s="80" t="s">
        <v>39</v>
      </c>
      <c r="R435" s="80" t="s">
        <v>472</v>
      </c>
    </row>
  </sheetData>
  <autoFilter ref="A2:R433" xr:uid="{00000000-0001-0000-0000-000000000000}">
    <filterColumn colId="8">
      <filters>
        <filter val="02/02/2026"/>
        <filter val="03/03/2026"/>
        <filter val="13/01/2026"/>
        <filter val="19/01/2026"/>
        <filter val="21/01/2026"/>
        <filter val="22/01/2026"/>
        <filter val="25/02/2026"/>
        <filter val="28/04/2026"/>
        <filter val="30/03/2026"/>
      </filters>
    </filterColumn>
  </autoFilter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0"/>
  <sheetViews>
    <sheetView showGridLines="0" zoomScale="60" workbookViewId="0">
      <pane ySplit="2" topLeftCell="A42" activePane="bottomLeft" state="frozen"/>
      <selection pane="bottomLeft" activeCell="A43" sqref="A43:A50"/>
    </sheetView>
  </sheetViews>
  <sheetFormatPr baseColWidth="10" defaultColWidth="8.90625" defaultRowHeight="18" x14ac:dyDescent="0.35"/>
  <cols>
    <col min="1" max="1" width="36.81640625" style="19" bestFit="1" customWidth="1"/>
    <col min="2" max="2" width="59.1796875" style="19" customWidth="1"/>
    <col min="3" max="3" width="5.6328125" style="19" bestFit="1" customWidth="1"/>
    <col min="4" max="4" width="11" style="19" bestFit="1" customWidth="1"/>
    <col min="5" max="5" width="13" style="19" bestFit="1" customWidth="1"/>
    <col min="6" max="6" width="5.90625" style="19" bestFit="1" customWidth="1"/>
    <col min="7" max="7" width="12.1796875" style="19" bestFit="1" customWidth="1"/>
    <col min="8" max="8" width="16.1796875" style="19" bestFit="1" customWidth="1"/>
    <col min="9" max="9" width="95.453125" style="19" bestFit="1" customWidth="1"/>
    <col min="10" max="16384" width="8.90625" style="19"/>
  </cols>
  <sheetData>
    <row r="1" spans="1:9" x14ac:dyDescent="0.35">
      <c r="A1" s="266" t="str">
        <f>"Synthèse par Thématique &amp; Sous-thématique — " &amp; C51 &amp; " Brevets — UM6P Portfolio"</f>
        <v>Synthèse par Thématique &amp; Sous-thématique — 391 Brevets — UM6P Portfolio</v>
      </c>
      <c r="B1" s="267"/>
      <c r="C1" s="267"/>
      <c r="D1" s="267"/>
      <c r="E1" s="267"/>
      <c r="F1" s="267"/>
      <c r="G1" s="267"/>
      <c r="H1" s="267"/>
      <c r="I1" s="268"/>
    </row>
    <row r="2" spans="1:9" ht="35.5" thickBot="1" x14ac:dyDescent="0.4">
      <c r="A2" s="129" t="s">
        <v>1</v>
      </c>
      <c r="B2" s="129" t="s">
        <v>2</v>
      </c>
      <c r="C2" s="129" t="s">
        <v>1716</v>
      </c>
      <c r="D2" s="129" t="s">
        <v>1717</v>
      </c>
      <c r="E2" s="129" t="s">
        <v>1718</v>
      </c>
      <c r="F2" s="129" t="s">
        <v>106</v>
      </c>
      <c r="G2" s="129" t="s">
        <v>1719</v>
      </c>
      <c r="H2" s="129" t="s">
        <v>2227</v>
      </c>
      <c r="I2" s="129" t="s">
        <v>2228</v>
      </c>
    </row>
    <row r="3" spans="1:9" ht="35" x14ac:dyDescent="0.35">
      <c r="A3" s="269" t="s">
        <v>19</v>
      </c>
      <c r="B3" s="130" t="s">
        <v>2229</v>
      </c>
      <c r="C3" s="131">
        <f>COUNTIFS('📋 Inventaire Complet'!$B$3:$B$517,"*Environmental Tech &amp; Digital Mining*",'📋 Inventaire Complet'!$D$3:$D$517,"&lt;&gt;")</f>
        <v>161</v>
      </c>
      <c r="D3" s="132">
        <f>COUNTIFS('📋 Inventaire Complet'!$B$3:$B$517,"*Environmental Tech &amp; Digital Mining*",'📋 Inventaire Complet'!$D$3:$D$517,"&lt;&gt;",'📋 Inventaire Complet'!$L$3:$L$517,"*Délivré*")</f>
        <v>34</v>
      </c>
      <c r="E3" s="133">
        <f>COUNTIFS('📋 Inventaire Complet'!$B$3:$B$517,"*Environmental Tech &amp; Digital Mining*",'📋 Inventaire Complet'!$D$3:$D$517,"&lt;&gt;",'📋 Inventaire Complet'!$L$3:$L$517,"*Maintenu*")</f>
        <v>54</v>
      </c>
      <c r="F3" s="134">
        <f>COUNTIFS('📋 Inventaire Complet'!$B$3:$B$517,"*Environmental Tech &amp; Digital Mining*",'📋 Inventaire Complet'!$D$3:$D$517,"&lt;&gt;",'📋 Inventaire Complet'!$L$3:$L$517,"*PCT*")</f>
        <v>5</v>
      </c>
      <c r="G3" s="135">
        <f>COUNTIFS('📋 Inventaire Complet'!$B$3:$B$517,"*Environmental Tech &amp; Digital Mining*",'📋 Inventaire Complet'!$D$3:$D$517,"&lt;&gt;",'📋 Inventaire Complet'!$L$3:$L$517,"*OMPIC*")+COUNTIFS('📋 Inventaire Complet'!$B$3:$B$517,"*Environmental Tech &amp; Digital Mining*",'📋 Inventaire Complet'!$D$3:$D$517,"&lt;&gt;",'📋 Inventaire Complet'!$L$3:$L$517,"*En examen*")</f>
        <v>14</v>
      </c>
      <c r="H3" s="136">
        <f>COUNTIFS('📋 Inventaire Complet'!$B$3:$B$517,"*Environmental Tech &amp; Digital Mining*",'📋 Inventaire Complet'!$D$3:$D$517,"&lt;&gt;",'📋 Inventaire Complet'!$L$3:$L$517,"*Abandonné*")+COUNTIFS('📋 Inventaire Complet'!$B$3:$B$517,"*Environmental Tech &amp; Digital Mining*",'📋 Inventaire Complet'!$D$3:$D$517,"&lt;&gt;",'📋 Inventaire Complet'!$L$3:$L$517,"*Rejeté*")</f>
        <v>10</v>
      </c>
      <c r="I3" s="137" t="s">
        <v>2230</v>
      </c>
    </row>
    <row r="4" spans="1:9" ht="35" x14ac:dyDescent="0.35">
      <c r="A4" s="270"/>
      <c r="B4" s="138" t="s">
        <v>1827</v>
      </c>
      <c r="C4" s="139">
        <f>COUNTIFS('📋 Inventaire Complet'!$B$3:$B$517,"*Environmental Tech &amp; Digital Mining*",'📋 Inventaire Complet'!$C$3:$C$517,"Agriculture, biostimulants &amp; protection végétale",'📋 Inventaire Complet'!$D$3:$D$517,"&lt;&gt;")</f>
        <v>9</v>
      </c>
      <c r="D4" s="140">
        <f>COUNTIFS('📋 Inventaire Complet'!$B$3:$B$517,"*Environmental Tech &amp; Digital Mining*",'📋 Inventaire Complet'!$C$3:$C$517,"Agriculture, biostimulants &amp; protection végétale",'📋 Inventaire Complet'!$D$3:$D$517,"&lt;&gt;",'📋 Inventaire Complet'!$L$3:$L$517,"*Délivré*")</f>
        <v>0</v>
      </c>
      <c r="E4" s="141">
        <f>COUNTIFS('📋 Inventaire Complet'!$B$3:$B$517,"*Environmental Tech &amp; Digital Mining*",'📋 Inventaire Complet'!$C$3:$C$517,"Agriculture, biostimulants &amp; protection végétale",'📋 Inventaire Complet'!$D$3:$D$517,"&lt;&gt;",'📋 Inventaire Complet'!$L$3:$L$517,"*Maintenu*")</f>
        <v>3</v>
      </c>
      <c r="F4" s="142">
        <f>COUNTIFS('📋 Inventaire Complet'!$B$3:$B$517,"*Environmental Tech &amp; Digital Mining*",'📋 Inventaire Complet'!$C$3:$C$517,"Agriculture, biostimulants &amp; protection végétale",'📋 Inventaire Complet'!$D$3:$D$517,"&lt;&gt;",'📋 Inventaire Complet'!$L$3:$L$517,"*PCT*")</f>
        <v>1</v>
      </c>
      <c r="G4" s="143">
        <f>COUNTIFS('📋 Inventaire Complet'!$B$3:$B$517,"*Environmental Tech &amp; Digital Mining*",'📋 Inventaire Complet'!$C$3:$C$517,"Agriculture, biostimulants &amp; protection végétale",'📋 Inventaire Complet'!$D$3:$D$517,"&lt;&gt;",'📋 Inventaire Complet'!$L$3:$L$517,"*OMPIC*")+COUNTIFS('📋 Inventaire Complet'!$B$3:$B$517,"*Environmental Tech &amp; Digital Mining*",'📋 Inventaire Complet'!$C$3:$C$517,"Agriculture, biostimulants &amp; protection végétale",'📋 Inventaire Complet'!$D$3:$D$517,"&lt;&gt;",'📋 Inventaire Complet'!$L$3:$L$517,"*En examen*")</f>
        <v>4</v>
      </c>
      <c r="H4" s="144">
        <f>COUNTIFS('📋 Inventaire Complet'!$B$3:$B$517,"*Environmental Tech &amp; Digital Mining*",'📋 Inventaire Complet'!$C$3:$C$517,"Agriculture, biostimulants &amp; protection végétale",'📋 Inventaire Complet'!$D$3:$D$517,"&lt;&gt;",'📋 Inventaire Complet'!$L$3:$L$517,"*Abandonné*")+COUNTIFS('📋 Inventaire Complet'!$B$3:$B$517,"*Environmental Tech &amp; Digital Mining*",'📋 Inventaire Complet'!$C$3:$C$517,"Agriculture, biostimulants &amp; protection végétale",'📋 Inventaire Complet'!$D$3:$D$517,"&lt;&gt;",'📋 Inventaire Complet'!$L$3:$L$517,"*Rejeté*")</f>
        <v>0</v>
      </c>
      <c r="I4" s="7" t="s">
        <v>2231</v>
      </c>
    </row>
    <row r="5" spans="1:9" ht="35" x14ac:dyDescent="0.35">
      <c r="A5" s="270"/>
      <c r="B5" s="2" t="s">
        <v>1842</v>
      </c>
      <c r="C5" s="145">
        <f>COUNTIFS('📋 Inventaire Complet'!$B$3:$B$517,"*Environmental Tech &amp; Digital Mining*",'📋 Inventaire Complet'!$C$3:$C$517,"Biotechnologies, diagnostic &amp; molécules bioactives",'📋 Inventaire Complet'!$D$3:$D$517,"&lt;&gt;")</f>
        <v>13</v>
      </c>
      <c r="D5" s="146">
        <f>COUNTIFS('📋 Inventaire Complet'!$B$3:$B$517,"*Environmental Tech &amp; Digital Mining*",'📋 Inventaire Complet'!$C$3:$C$517,"Biotechnologies, diagnostic &amp; molécules bioactives",'📋 Inventaire Complet'!$D$3:$D$517,"&lt;&gt;",'📋 Inventaire Complet'!$L$3:$L$517,"*Délivré*")</f>
        <v>0</v>
      </c>
      <c r="E5" s="147">
        <f>COUNTIFS('📋 Inventaire Complet'!$B$3:$B$517,"*Environmental Tech &amp; Digital Mining*",'📋 Inventaire Complet'!$C$3:$C$517,"Biotechnologies, diagnostic &amp; molécules bioactives",'📋 Inventaire Complet'!$D$3:$D$517,"&lt;&gt;",'📋 Inventaire Complet'!$L$3:$L$517,"*Maintenu*")</f>
        <v>8</v>
      </c>
      <c r="F5" s="148">
        <f>COUNTIFS('📋 Inventaire Complet'!$B$3:$B$517,"*Environmental Tech &amp; Digital Mining*",'📋 Inventaire Complet'!$C$3:$C$517,"Biotechnologies, diagnostic &amp; molécules bioactives",'📋 Inventaire Complet'!$D$3:$D$517,"&lt;&gt;",'📋 Inventaire Complet'!$L$3:$L$517,"*PCT*")</f>
        <v>0</v>
      </c>
      <c r="G5" s="149">
        <f>COUNTIFS('📋 Inventaire Complet'!$B$3:$B$517,"*Environmental Tech &amp; Digital Mining*",'📋 Inventaire Complet'!$C$3:$C$517,"Biotechnologies, diagnostic &amp; molécules bioactives",'📋 Inventaire Complet'!$D$3:$D$517,"&lt;&gt;",'📋 Inventaire Complet'!$L$3:$L$517,"*OMPIC*")+COUNTIFS('📋 Inventaire Complet'!$B$3:$B$517,"*Environmental Tech &amp; Digital Mining*",'📋 Inventaire Complet'!$C$3:$C$517,"Biotechnologies, diagnostic &amp; molécules bioactives",'📋 Inventaire Complet'!$D$3:$D$517,"&lt;&gt;",'📋 Inventaire Complet'!$L$3:$L$517,"*En examen*")</f>
        <v>1</v>
      </c>
      <c r="H5" s="150">
        <f>COUNTIFS('📋 Inventaire Complet'!$B$3:$B$517,"*Environmental Tech &amp; Digital Mining*",'📋 Inventaire Complet'!$C$3:$C$517,"Biotechnologies, diagnostic &amp; molécules bioactives",'📋 Inventaire Complet'!$D$3:$D$517,"&lt;&gt;",'📋 Inventaire Complet'!$L$3:$L$517,"*Abandonné*")+COUNTIFS('📋 Inventaire Complet'!$B$3:$B$517,"*Environmental Tech &amp; Digital Mining*",'📋 Inventaire Complet'!$C$3:$C$517,"Biotechnologies, diagnostic &amp; molécules bioactives",'📋 Inventaire Complet'!$D$3:$D$517,"&lt;&gt;",'📋 Inventaire Complet'!$L$3:$L$517,"*Rejeté*")</f>
        <v>0</v>
      </c>
      <c r="I5" s="3" t="s">
        <v>1720</v>
      </c>
    </row>
    <row r="6" spans="1:9" x14ac:dyDescent="0.35">
      <c r="A6" s="270"/>
      <c r="B6" s="2" t="s">
        <v>1861</v>
      </c>
      <c r="C6" s="145">
        <f>COUNTIFS('📋 Inventaire Complet'!$B$3:$B$517,"*Environmental Tech &amp; Digital Mining*",'📋 Inventaire Complet'!$C$3:$C$517,"Capteurs, spectroscopie &amp; micro-ondes",'📋 Inventaire Complet'!$D$3:$D$517,"&lt;&gt;")</f>
        <v>16</v>
      </c>
      <c r="D6" s="146">
        <f>COUNTIFS('📋 Inventaire Complet'!$B$3:$B$517,"*Environmental Tech &amp; Digital Mining*",'📋 Inventaire Complet'!$C$3:$C$517,"Capteurs, spectroscopie &amp; micro-ondes",'📋 Inventaire Complet'!$D$3:$D$517,"&lt;&gt;",'📋 Inventaire Complet'!$L$3:$L$517,"*Délivré*")</f>
        <v>0</v>
      </c>
      <c r="E6" s="147">
        <f>COUNTIFS('📋 Inventaire Complet'!$B$3:$B$517,"*Environmental Tech &amp; Digital Mining*",'📋 Inventaire Complet'!$C$3:$C$517,"Capteurs, spectroscopie &amp; micro-ondes",'📋 Inventaire Complet'!$D$3:$D$517,"&lt;&gt;",'📋 Inventaire Complet'!$L$3:$L$517,"*Maintenu*")</f>
        <v>3</v>
      </c>
      <c r="F6" s="148">
        <f>COUNTIFS('📋 Inventaire Complet'!$B$3:$B$517,"*Environmental Tech &amp; Digital Mining*",'📋 Inventaire Complet'!$C$3:$C$517,"Capteurs, spectroscopie &amp; micro-ondes",'📋 Inventaire Complet'!$D$3:$D$517,"&lt;&gt;",'📋 Inventaire Complet'!$L$3:$L$517,"*PCT*")</f>
        <v>2</v>
      </c>
      <c r="G6" s="149">
        <f>COUNTIFS('📋 Inventaire Complet'!$B$3:$B$517,"*Environmental Tech &amp; Digital Mining*",'📋 Inventaire Complet'!$C$3:$C$517,"Capteurs, spectroscopie &amp; micro-ondes",'📋 Inventaire Complet'!$D$3:$D$517,"&lt;&gt;",'📋 Inventaire Complet'!$L$3:$L$517,"*OMPIC*")+COUNTIFS('📋 Inventaire Complet'!$B$3:$B$517,"*Environmental Tech &amp; Digital Mining*",'📋 Inventaire Complet'!$C$3:$C$517,"Capteurs, spectroscopie &amp; micro-ondes",'📋 Inventaire Complet'!$D$3:$D$517,"&lt;&gt;",'📋 Inventaire Complet'!$L$3:$L$517,"*En examen*")</f>
        <v>1</v>
      </c>
      <c r="H6" s="150">
        <f>COUNTIFS('📋 Inventaire Complet'!$B$3:$B$517,"*Environmental Tech &amp; Digital Mining*",'📋 Inventaire Complet'!$C$3:$C$517,"Capteurs, spectroscopie &amp; micro-ondes",'📋 Inventaire Complet'!$D$3:$D$517,"&lt;&gt;",'📋 Inventaire Complet'!$L$3:$L$517,"*Abandonné*")+COUNTIFS('📋 Inventaire Complet'!$B$3:$B$517,"*Environmental Tech &amp; Digital Mining*",'📋 Inventaire Complet'!$C$3:$C$517,"Capteurs, spectroscopie &amp; micro-ondes",'📋 Inventaire Complet'!$D$3:$D$517,"&lt;&gt;",'📋 Inventaire Complet'!$L$3:$L$517,"*Rejeté*")</f>
        <v>1</v>
      </c>
      <c r="I6" s="3" t="s">
        <v>2232</v>
      </c>
    </row>
    <row r="7" spans="1:9" ht="35" x14ac:dyDescent="0.35">
      <c r="A7" s="270"/>
      <c r="B7" s="2" t="s">
        <v>1885</v>
      </c>
      <c r="C7" s="145">
        <f>COUNTIFS('📋 Inventaire Complet'!$B$3:$B$517,"*Environmental Tech &amp; Digital Mining*",'📋 Inventaire Complet'!$C$3:$C$517,"Matériaux composites, polymères &amp; revêtements",'📋 Inventaire Complet'!$D$3:$D$517,"&lt;&gt;")</f>
        <v>17</v>
      </c>
      <c r="D7" s="146">
        <f>COUNTIFS('📋 Inventaire Complet'!$B$3:$B$517,"*Environmental Tech &amp; Digital Mining*",'📋 Inventaire Complet'!$C$3:$C$517,"Matériaux composites, polymères &amp; revêtements",'📋 Inventaire Complet'!$D$3:$D$517,"&lt;&gt;",'📋 Inventaire Complet'!$L$3:$L$517,"*Délivré*")</f>
        <v>0</v>
      </c>
      <c r="E7" s="147">
        <f>COUNTIFS('📋 Inventaire Complet'!$B$3:$B$517,"*Environmental Tech &amp; Digital Mining*",'📋 Inventaire Complet'!$C$3:$C$517,"Matériaux composites, polymères &amp; revêtements",'📋 Inventaire Complet'!$D$3:$D$517,"&lt;&gt;",'📋 Inventaire Complet'!$L$3:$L$517,"*Maintenu*")</f>
        <v>6</v>
      </c>
      <c r="F7" s="148">
        <f>COUNTIFS('📋 Inventaire Complet'!$B$3:$B$517,"*Environmental Tech &amp; Digital Mining*",'📋 Inventaire Complet'!$C$3:$C$517,"Matériaux composites, polymères &amp; revêtements",'📋 Inventaire Complet'!$D$3:$D$517,"&lt;&gt;",'📋 Inventaire Complet'!$L$3:$L$517,"*PCT*")</f>
        <v>1</v>
      </c>
      <c r="G7" s="149">
        <f>COUNTIFS('📋 Inventaire Complet'!$B$3:$B$517,"*Environmental Tech &amp; Digital Mining*",'📋 Inventaire Complet'!$C$3:$C$517,"Matériaux composites, polymères &amp; revêtements",'📋 Inventaire Complet'!$D$3:$D$517,"&lt;&gt;",'📋 Inventaire Complet'!$L$3:$L$517,"*OMPIC*")+COUNTIFS('📋 Inventaire Complet'!$B$3:$B$517,"*Environmental Tech &amp; Digital Mining*",'📋 Inventaire Complet'!$C$3:$C$517,"Matériaux composites, polymères &amp; revêtements",'📋 Inventaire Complet'!$D$3:$D$517,"&lt;&gt;",'📋 Inventaire Complet'!$L$3:$L$517,"*En examen*")</f>
        <v>1</v>
      </c>
      <c r="H7" s="150">
        <f>COUNTIFS('📋 Inventaire Complet'!$B$3:$B$517,"*Environmental Tech &amp; Digital Mining*",'📋 Inventaire Complet'!$C$3:$C$517,"Matériaux composites, polymères &amp; revêtements",'📋 Inventaire Complet'!$D$3:$D$517,"&lt;&gt;",'📋 Inventaire Complet'!$L$3:$L$517,"*Abandonné*")+COUNTIFS('📋 Inventaire Complet'!$B$3:$B$517,"*Environmental Tech &amp; Digital Mining*",'📋 Inventaire Complet'!$C$3:$C$517,"Matériaux composites, polymères &amp; revêtements",'📋 Inventaire Complet'!$D$3:$D$517,"&lt;&gt;",'📋 Inventaire Complet'!$L$3:$L$517,"*Rejeté*")</f>
        <v>2</v>
      </c>
      <c r="I7" s="3" t="s">
        <v>2233</v>
      </c>
    </row>
    <row r="8" spans="1:9" ht="35" x14ac:dyDescent="0.35">
      <c r="A8" s="270"/>
      <c r="B8" s="2" t="s">
        <v>1903</v>
      </c>
      <c r="C8" s="145">
        <f>COUNTIFS('📋 Inventaire Complet'!$B$3:$B$517,"*Environmental Tech &amp; Digital Mining*",'📋 Inventaire Complet'!$C$3:$C$517,"Nanomatériaux, céramiques &amp; matériaux fonctionnels",'📋 Inventaire Complet'!$D$3:$D$517,"&lt;&gt;")</f>
        <v>26</v>
      </c>
      <c r="D8" s="146">
        <f>COUNTIFS('📋 Inventaire Complet'!$B$3:$B$517,"*Environmental Tech &amp; Digital Mining*",'📋 Inventaire Complet'!$C$3:$C$517,"Nanomatériaux, céramiques &amp; matériaux fonctionnels",'📋 Inventaire Complet'!$D$3:$D$517,"&lt;&gt;",'📋 Inventaire Complet'!$L$3:$L$517,"*Délivré*")</f>
        <v>9</v>
      </c>
      <c r="E8" s="147">
        <f>COUNTIFS('📋 Inventaire Complet'!$B$3:$B$517,"*Environmental Tech &amp; Digital Mining*",'📋 Inventaire Complet'!$C$3:$C$517,"Nanomatériaux, céramiques &amp; matériaux fonctionnels",'📋 Inventaire Complet'!$D$3:$D$517,"&lt;&gt;",'📋 Inventaire Complet'!$L$3:$L$517,"*Maintenu*")</f>
        <v>7</v>
      </c>
      <c r="F8" s="148">
        <f>COUNTIFS('📋 Inventaire Complet'!$B$3:$B$517,"*Environmental Tech &amp; Digital Mining*",'📋 Inventaire Complet'!$C$3:$C$517,"Nanomatériaux, céramiques &amp; matériaux fonctionnels",'📋 Inventaire Complet'!$D$3:$D$517,"&lt;&gt;",'📋 Inventaire Complet'!$L$3:$L$517,"*PCT*")</f>
        <v>0</v>
      </c>
      <c r="G8" s="149">
        <f>COUNTIFS('📋 Inventaire Complet'!$B$3:$B$517,"*Environmental Tech &amp; Digital Mining*",'📋 Inventaire Complet'!$C$3:$C$517,"Nanomatériaux, céramiques &amp; matériaux fonctionnels",'📋 Inventaire Complet'!$D$3:$D$517,"&lt;&gt;",'📋 Inventaire Complet'!$L$3:$L$517,"*OMPIC*")+COUNTIFS('📋 Inventaire Complet'!$B$3:$B$517,"*Environmental Tech &amp; Digital Mining*",'📋 Inventaire Complet'!$C$3:$C$517,"Nanomatériaux, céramiques &amp; matériaux fonctionnels",'📋 Inventaire Complet'!$D$3:$D$517,"&lt;&gt;",'📋 Inventaire Complet'!$L$3:$L$517,"*En examen*")</f>
        <v>3</v>
      </c>
      <c r="H8" s="150">
        <f>COUNTIFS('📋 Inventaire Complet'!$B$3:$B$517,"*Environmental Tech &amp; Digital Mining*",'📋 Inventaire Complet'!$C$3:$C$517,"Nanomatériaux, céramiques &amp; matériaux fonctionnels",'📋 Inventaire Complet'!$D$3:$D$517,"&lt;&gt;",'📋 Inventaire Complet'!$L$3:$L$517,"*Abandonné*")+COUNTIFS('📋 Inventaire Complet'!$B$3:$B$517,"*Environmental Tech &amp; Digital Mining*",'📋 Inventaire Complet'!$C$3:$C$517,"Nanomatériaux, céramiques &amp; matériaux fonctionnels",'📋 Inventaire Complet'!$D$3:$D$517,"&lt;&gt;",'📋 Inventaire Complet'!$L$3:$L$517,"*Rejeté*")</f>
        <v>2</v>
      </c>
      <c r="I8" s="3" t="s">
        <v>2234</v>
      </c>
    </row>
    <row r="9" spans="1:9" ht="35" x14ac:dyDescent="0.35">
      <c r="A9" s="270"/>
      <c r="B9" s="2" t="s">
        <v>1924</v>
      </c>
      <c r="C9" s="145">
        <f>COUNTIFS('📋 Inventaire Complet'!$B$3:$B$517,"*Environmental Tech &amp; Digital Mining*",'📋 Inventaire Complet'!$C$3:$C$517,"Procédés phosphates, phosphogypse &amp; chimie industrielle",'📋 Inventaire Complet'!$D$3:$D$517,"&lt;&gt;")</f>
        <v>28</v>
      </c>
      <c r="D9" s="146">
        <f>COUNTIFS('📋 Inventaire Complet'!$B$3:$B$517,"*Environmental Tech &amp; Digital Mining*",'📋 Inventaire Complet'!$C$3:$C$517,"Procédés phosphates, phosphogypse &amp; chimie industrielle",'📋 Inventaire Complet'!$D$3:$D$517,"&lt;&gt;",'📋 Inventaire Complet'!$L$3:$L$517,"*Délivré*")</f>
        <v>23</v>
      </c>
      <c r="E9" s="147">
        <f>COUNTIFS('📋 Inventaire Complet'!$B$3:$B$517,"*Environmental Tech &amp; Digital Mining*",'📋 Inventaire Complet'!$C$3:$C$517,"Procédés phosphates, phosphogypse &amp; chimie industrielle",'📋 Inventaire Complet'!$D$3:$D$517,"&lt;&gt;",'📋 Inventaire Complet'!$L$3:$L$517,"*Maintenu*")</f>
        <v>0</v>
      </c>
      <c r="F9" s="148">
        <f>COUNTIFS('📋 Inventaire Complet'!$B$3:$B$517,"*Environmental Tech &amp; Digital Mining*",'📋 Inventaire Complet'!$C$3:$C$517,"Procédés phosphates, phosphogypse &amp; chimie industrielle",'📋 Inventaire Complet'!$D$3:$D$517,"&lt;&gt;",'📋 Inventaire Complet'!$L$3:$L$517,"*PCT*")</f>
        <v>0</v>
      </c>
      <c r="G9" s="149">
        <f>COUNTIFS('📋 Inventaire Complet'!$B$3:$B$517,"*Environmental Tech &amp; Digital Mining*",'📋 Inventaire Complet'!$C$3:$C$517,"Procédés phosphates, phosphogypse &amp; chimie industrielle",'📋 Inventaire Complet'!$D$3:$D$517,"&lt;&gt;",'📋 Inventaire Complet'!$L$3:$L$517,"*OMPIC*")+COUNTIFS('📋 Inventaire Complet'!$B$3:$B$517,"*Environmental Tech &amp; Digital Mining*",'📋 Inventaire Complet'!$C$3:$C$517,"Procédés phosphates, phosphogypse &amp; chimie industrielle",'📋 Inventaire Complet'!$D$3:$D$517,"&lt;&gt;",'📋 Inventaire Complet'!$L$3:$L$517,"*En examen*")</f>
        <v>2</v>
      </c>
      <c r="H9" s="150">
        <f>COUNTIFS('📋 Inventaire Complet'!$B$3:$B$517,"*Environmental Tech &amp; Digital Mining*",'📋 Inventaire Complet'!$C$3:$C$517,"Procédés phosphates, phosphogypse &amp; chimie industrielle",'📋 Inventaire Complet'!$D$3:$D$517,"&lt;&gt;",'📋 Inventaire Complet'!$L$3:$L$517,"*Abandonné*")+COUNTIFS('📋 Inventaire Complet'!$B$3:$B$517,"*Environmental Tech &amp; Digital Mining*",'📋 Inventaire Complet'!$C$3:$C$517,"Procédés phosphates, phosphogypse &amp; chimie industrielle",'📋 Inventaire Complet'!$D$3:$D$517,"&lt;&gt;",'📋 Inventaire Complet'!$L$3:$L$517,"*Rejeté*")</f>
        <v>2</v>
      </c>
      <c r="I9" s="3" t="s">
        <v>2235</v>
      </c>
    </row>
    <row r="10" spans="1:9" x14ac:dyDescent="0.35">
      <c r="A10" s="270"/>
      <c r="B10" s="2" t="s">
        <v>1926</v>
      </c>
      <c r="C10" s="145">
        <f>COUNTIFS('📋 Inventaire Complet'!$B$3:$B$517,"*Environmental Tech &amp; Digital Mining*",'📋 Inventaire Complet'!$C$3:$C$517,"Traitement de l’eau, effluents &amp; dépollution",'📋 Inventaire Complet'!$D$3:$D$517,"&lt;&gt;")</f>
        <v>20</v>
      </c>
      <c r="D10" s="146">
        <f>COUNTIFS('📋 Inventaire Complet'!$B$3:$B$517,"*Environmental Tech &amp; Digital Mining*",'📋 Inventaire Complet'!$C$3:$C$517,"Traitement de l’eau, effluents &amp; dépollution",'📋 Inventaire Complet'!$D$3:$D$517,"&lt;&gt;",'📋 Inventaire Complet'!$L$3:$L$517,"*Délivré*")</f>
        <v>2</v>
      </c>
      <c r="E10" s="147">
        <f>COUNTIFS('📋 Inventaire Complet'!$B$3:$B$517,"*Environmental Tech &amp; Digital Mining*",'📋 Inventaire Complet'!$C$3:$C$517,"Traitement de l’eau, effluents &amp; dépollution",'📋 Inventaire Complet'!$D$3:$D$517,"&lt;&gt;",'📋 Inventaire Complet'!$L$3:$L$517,"*Maintenu*")</f>
        <v>7</v>
      </c>
      <c r="F10" s="148">
        <f>COUNTIFS('📋 Inventaire Complet'!$B$3:$B$517,"*Environmental Tech &amp; Digital Mining*",'📋 Inventaire Complet'!$C$3:$C$517,"Traitement de l’eau, effluents &amp; dépollution",'📋 Inventaire Complet'!$D$3:$D$517,"&lt;&gt;",'📋 Inventaire Complet'!$L$3:$L$517,"*PCT*")</f>
        <v>0</v>
      </c>
      <c r="G10" s="149">
        <f>COUNTIFS('📋 Inventaire Complet'!$B$3:$B$517,"*Environmental Tech &amp; Digital Mining*",'📋 Inventaire Complet'!$C$3:$C$517,"Traitement de l’eau, effluents &amp; dépollution",'📋 Inventaire Complet'!$D$3:$D$517,"&lt;&gt;",'📋 Inventaire Complet'!$L$3:$L$517,"*OMPIC*")+COUNTIFS('📋 Inventaire Complet'!$B$3:$B$517,"*Environmental Tech &amp; Digital Mining*",'📋 Inventaire Complet'!$C$3:$C$517,"Traitement de l’eau, effluents &amp; dépollution",'📋 Inventaire Complet'!$D$3:$D$517,"&lt;&gt;",'📋 Inventaire Complet'!$L$3:$L$517,"*En examen*")</f>
        <v>1</v>
      </c>
      <c r="H10" s="150">
        <f>COUNTIFS('📋 Inventaire Complet'!$B$3:$B$517,"*Environmental Tech &amp; Digital Mining*",'📋 Inventaire Complet'!$C$3:$C$517,"Traitement de l’eau, effluents &amp; dépollution",'📋 Inventaire Complet'!$D$3:$D$517,"&lt;&gt;",'📋 Inventaire Complet'!$L$3:$L$517,"*Abandonné*")+COUNTIFS('📋 Inventaire Complet'!$B$3:$B$517,"*Environmental Tech &amp; Digital Mining*",'📋 Inventaire Complet'!$C$3:$C$517,"Traitement de l’eau, effluents &amp; dépollution",'📋 Inventaire Complet'!$D$3:$D$517,"&lt;&gt;",'📋 Inventaire Complet'!$L$3:$L$517,"*Rejeté*")</f>
        <v>3</v>
      </c>
      <c r="I10" s="3" t="s">
        <v>2236</v>
      </c>
    </row>
    <row r="11" spans="1:9" x14ac:dyDescent="0.35">
      <c r="A11" s="270"/>
      <c r="B11" s="2" t="s">
        <v>1950</v>
      </c>
      <c r="C11" s="145">
        <f>COUNTIFS('📋 Inventaire Complet'!$B$3:$B$517,"*Environmental Tech &amp; Digital Mining*",'📋 Inventaire Complet'!$C$3:$C$517,"Vision artificielle, trafic &amp; inspection",'📋 Inventaire Complet'!$D$3:$D$517,"&lt;&gt;")</f>
        <v>19</v>
      </c>
      <c r="D11" s="146">
        <f>COUNTIFS('📋 Inventaire Complet'!$B$3:$B$517,"*Environmental Tech &amp; Digital Mining*",'📋 Inventaire Complet'!$C$3:$C$517,"Vision artificielle, trafic &amp; inspection",'📋 Inventaire Complet'!$D$3:$D$517,"&lt;&gt;",'📋 Inventaire Complet'!$L$3:$L$517,"*Délivré*")</f>
        <v>0</v>
      </c>
      <c r="E11" s="147">
        <f>COUNTIFS('📋 Inventaire Complet'!$B$3:$B$517,"*Environmental Tech &amp; Digital Mining*",'📋 Inventaire Complet'!$C$3:$C$517,"Vision artificielle, trafic &amp; inspection",'📋 Inventaire Complet'!$D$3:$D$517,"&lt;&gt;",'📋 Inventaire Complet'!$L$3:$L$517,"*Maintenu*")</f>
        <v>13</v>
      </c>
      <c r="F11" s="148">
        <f>COUNTIFS('📋 Inventaire Complet'!$B$3:$B$517,"*Environmental Tech &amp; Digital Mining*",'📋 Inventaire Complet'!$C$3:$C$517,"Vision artificielle, trafic &amp; inspection",'📋 Inventaire Complet'!$D$3:$D$517,"&lt;&gt;",'📋 Inventaire Complet'!$L$3:$L$517,"*PCT*")</f>
        <v>0</v>
      </c>
      <c r="G11" s="149">
        <f>COUNTIFS('📋 Inventaire Complet'!$B$3:$B$517,"*Environmental Tech &amp; Digital Mining*",'📋 Inventaire Complet'!$C$3:$C$517,"Vision artificielle, trafic &amp; inspection",'📋 Inventaire Complet'!$D$3:$D$517,"&lt;&gt;",'📋 Inventaire Complet'!$L$3:$L$517,"*OMPIC*")+COUNTIFS('📋 Inventaire Complet'!$B$3:$B$517,"*Environmental Tech &amp; Digital Mining*",'📋 Inventaire Complet'!$C$3:$C$517,"Vision artificielle, trafic &amp; inspection",'📋 Inventaire Complet'!$D$3:$D$517,"&lt;&gt;",'📋 Inventaire Complet'!$L$3:$L$517,"*En examen*")</f>
        <v>0</v>
      </c>
      <c r="H11" s="150">
        <f>COUNTIFS('📋 Inventaire Complet'!$B$3:$B$517,"*Environmental Tech &amp; Digital Mining*",'📋 Inventaire Complet'!$C$3:$C$517,"Vision artificielle, trafic &amp; inspection",'📋 Inventaire Complet'!$D$3:$D$517,"&lt;&gt;",'📋 Inventaire Complet'!$L$3:$L$517,"*Abandonné*")+COUNTIFS('📋 Inventaire Complet'!$B$3:$B$517,"*Environmental Tech &amp; Digital Mining*",'📋 Inventaire Complet'!$C$3:$C$517,"Vision artificielle, trafic &amp; inspection",'📋 Inventaire Complet'!$D$3:$D$517,"&lt;&gt;",'📋 Inventaire Complet'!$L$3:$L$517,"*Rejeté*")</f>
        <v>0</v>
      </c>
      <c r="I11" s="3" t="s">
        <v>21</v>
      </c>
    </row>
    <row r="12" spans="1:9" x14ac:dyDescent="0.35">
      <c r="A12" s="270"/>
      <c r="B12" s="2" t="s">
        <v>1975</v>
      </c>
      <c r="C12" s="145">
        <f>COUNTIFS('📋 Inventaire Complet'!$B$3:$B$517,"*Environmental Tech &amp; Digital Mining*",'📋 Inventaire Complet'!$C$3:$C$517,"Électronique embarquée, RFID &amp; IoT",'📋 Inventaire Complet'!$D$3:$D$517,"&lt;&gt;")</f>
        <v>10</v>
      </c>
      <c r="D12" s="146">
        <f>COUNTIFS('📋 Inventaire Complet'!$B$3:$B$517,"*Environmental Tech &amp; Digital Mining*",'📋 Inventaire Complet'!$C$3:$C$517,"Électronique embarquée, RFID &amp; IoT",'📋 Inventaire Complet'!$D$3:$D$517,"&lt;&gt;",'📋 Inventaire Complet'!$L$3:$L$517,"*Délivré*")</f>
        <v>0</v>
      </c>
      <c r="E12" s="147">
        <f>COUNTIFS('📋 Inventaire Complet'!$B$3:$B$517,"*Environmental Tech &amp; Digital Mining*",'📋 Inventaire Complet'!$C$3:$C$517,"Électronique embarquée, RFID &amp; IoT",'📋 Inventaire Complet'!$D$3:$D$517,"&lt;&gt;",'📋 Inventaire Complet'!$L$3:$L$517,"*Maintenu*")</f>
        <v>5</v>
      </c>
      <c r="F12" s="148">
        <f>COUNTIFS('📋 Inventaire Complet'!$B$3:$B$517,"*Environmental Tech &amp; Digital Mining*",'📋 Inventaire Complet'!$C$3:$C$517,"Électronique embarquée, RFID &amp; IoT",'📋 Inventaire Complet'!$D$3:$D$517,"&lt;&gt;",'📋 Inventaire Complet'!$L$3:$L$517,"*PCT*")</f>
        <v>1</v>
      </c>
      <c r="G12" s="149">
        <f>COUNTIFS('📋 Inventaire Complet'!$B$3:$B$517,"*Environmental Tech &amp; Digital Mining*",'📋 Inventaire Complet'!$C$3:$C$517,"Électronique embarquée, RFID &amp; IoT",'📋 Inventaire Complet'!$D$3:$D$517,"&lt;&gt;",'📋 Inventaire Complet'!$L$3:$L$517,"*OMPIC*")+COUNTIFS('📋 Inventaire Complet'!$B$3:$B$517,"*Environmental Tech &amp; Digital Mining*",'📋 Inventaire Complet'!$C$3:$C$517,"Électronique embarquée, RFID &amp; IoT",'📋 Inventaire Complet'!$D$3:$D$517,"&lt;&gt;",'📋 Inventaire Complet'!$L$3:$L$517,"*En examen*")</f>
        <v>1</v>
      </c>
      <c r="H12" s="150">
        <f>COUNTIFS('📋 Inventaire Complet'!$B$3:$B$517,"*Environmental Tech &amp; Digital Mining*",'📋 Inventaire Complet'!$C$3:$C$517,"Électronique embarquée, RFID &amp; IoT",'📋 Inventaire Complet'!$D$3:$D$517,"&lt;&gt;",'📋 Inventaire Complet'!$L$3:$L$517,"*Abandonné*")+COUNTIFS('📋 Inventaire Complet'!$B$3:$B$517,"*Environmental Tech &amp; Digital Mining*",'📋 Inventaire Complet'!$C$3:$C$517,"Électronique embarquée, RFID &amp; IoT",'📋 Inventaire Complet'!$D$3:$D$517,"&lt;&gt;",'📋 Inventaire Complet'!$L$3:$L$517,"*Rejeté*")</f>
        <v>0</v>
      </c>
      <c r="I12" s="3" t="s">
        <v>2237</v>
      </c>
    </row>
    <row r="13" spans="1:9" ht="18.5" thickBot="1" x14ac:dyDescent="0.4">
      <c r="A13" s="271"/>
      <c r="B13" s="4" t="s">
        <v>1990</v>
      </c>
      <c r="C13" s="151">
        <f>COUNTIFS('📋 Inventaire Complet'!$B$3:$B$517,"*Environmental Tech &amp; Digital Mining*",'📋 Inventaire Complet'!$C$3:$C$517,"Énergie, solaire &amp; efficacité énergétique",'📋 Inventaire Complet'!$D$3:$D$517,"&lt;&gt;")</f>
        <v>3</v>
      </c>
      <c r="D13" s="152">
        <f>COUNTIFS('📋 Inventaire Complet'!$B$3:$B$517,"*Environmental Tech &amp; Digital Mining*",'📋 Inventaire Complet'!$C$3:$C$517,"Énergie, solaire &amp; efficacité énergétique",'📋 Inventaire Complet'!$D$3:$D$517,"&lt;&gt;",'📋 Inventaire Complet'!$L$3:$L$517,"*Délivré*")</f>
        <v>0</v>
      </c>
      <c r="E13" s="153">
        <f>COUNTIFS('📋 Inventaire Complet'!$B$3:$B$517,"*Environmental Tech &amp; Digital Mining*",'📋 Inventaire Complet'!$C$3:$C$517,"Énergie, solaire &amp; efficacité énergétique",'📋 Inventaire Complet'!$D$3:$D$517,"&lt;&gt;",'📋 Inventaire Complet'!$L$3:$L$517,"*Maintenu*")</f>
        <v>2</v>
      </c>
      <c r="F13" s="154">
        <f>COUNTIFS('📋 Inventaire Complet'!$B$3:$B$517,"*Environmental Tech &amp; Digital Mining*",'📋 Inventaire Complet'!$C$3:$C$517,"Énergie, solaire &amp; efficacité énergétique",'📋 Inventaire Complet'!$D$3:$D$517,"&lt;&gt;",'📋 Inventaire Complet'!$L$3:$L$517,"*PCT*")</f>
        <v>0</v>
      </c>
      <c r="G13" s="155">
        <f>COUNTIFS('📋 Inventaire Complet'!$B$3:$B$517,"*Environmental Tech &amp; Digital Mining*",'📋 Inventaire Complet'!$C$3:$C$517,"Énergie, solaire &amp; efficacité énergétique",'📋 Inventaire Complet'!$D$3:$D$517,"&lt;&gt;",'📋 Inventaire Complet'!$L$3:$L$517,"*OMPIC*")+COUNTIFS('📋 Inventaire Complet'!$B$3:$B$517,"*Environmental Tech &amp; Digital Mining*",'📋 Inventaire Complet'!$C$3:$C$517,"Énergie, solaire &amp; efficacité énergétique",'📋 Inventaire Complet'!$D$3:$D$517,"&lt;&gt;",'📋 Inventaire Complet'!$L$3:$L$517,"*En examen*")</f>
        <v>0</v>
      </c>
      <c r="H13" s="156">
        <f>COUNTIFS('📋 Inventaire Complet'!$B$3:$B$517,"*Environmental Tech &amp; Digital Mining*",'📋 Inventaire Complet'!$C$3:$C$517,"Énergie, solaire &amp; efficacité énergétique",'📋 Inventaire Complet'!$D$3:$D$517,"&lt;&gt;",'📋 Inventaire Complet'!$L$3:$L$517,"*Abandonné*")+COUNTIFS('📋 Inventaire Complet'!$B$3:$B$517,"*Environmental Tech &amp; Digital Mining*",'📋 Inventaire Complet'!$C$3:$C$517,"Énergie, solaire &amp; efficacité énergétique",'📋 Inventaire Complet'!$D$3:$D$517,"&lt;&gt;",'📋 Inventaire Complet'!$L$3:$L$517,"*Rejeté*")</f>
        <v>0</v>
      </c>
      <c r="I13" s="5" t="s">
        <v>21</v>
      </c>
    </row>
    <row r="14" spans="1:9" ht="35" x14ac:dyDescent="0.35">
      <c r="A14" s="272" t="s">
        <v>831</v>
      </c>
      <c r="B14" s="157" t="s">
        <v>2238</v>
      </c>
      <c r="C14" s="131">
        <f>COUNTIFS('📋 Inventaire Complet'!$B$3:$B$517,"*Mineral Processing &amp; Strategic Synthesis*",'📋 Inventaire Complet'!$D$3:$D$517,"&lt;&gt;")</f>
        <v>101</v>
      </c>
      <c r="D14" s="132">
        <f>COUNTIFS('📋 Inventaire Complet'!$B$3:$B$517,"*Mineral Processing &amp; Strategic Synthesis*",'📋 Inventaire Complet'!$D$3:$D$517,"&lt;&gt;",'📋 Inventaire Complet'!$L$3:$L$517,"*Délivré*")</f>
        <v>12</v>
      </c>
      <c r="E14" s="133">
        <f>COUNTIFS('📋 Inventaire Complet'!$B$3:$B$517,"*Mineral Processing &amp; Strategic Synthesis*",'📋 Inventaire Complet'!$D$3:$D$517,"&lt;&gt;",'📋 Inventaire Complet'!$L$3:$L$517,"*Maintenu*")</f>
        <v>21</v>
      </c>
      <c r="F14" s="134">
        <f>COUNTIFS('📋 Inventaire Complet'!$B$3:$B$517,"*Mineral Processing &amp; Strategic Synthesis*",'📋 Inventaire Complet'!$D$3:$D$517,"&lt;&gt;",'📋 Inventaire Complet'!$L$3:$L$517,"*PCT*")</f>
        <v>8</v>
      </c>
      <c r="G14" s="135">
        <f>COUNTIFS('📋 Inventaire Complet'!$B$3:$B$517,"*Mineral Processing &amp; Strategic Synthesis*",'📋 Inventaire Complet'!$D$3:$D$517,"&lt;&gt;",'📋 Inventaire Complet'!$L$3:$L$517,"*OMPIC*")+COUNTIFS('📋 Inventaire Complet'!$B$3:$B$517,"*Mineral Processing &amp; Strategic Synthesis*",'📋 Inventaire Complet'!$D$3:$D$517,"&lt;&gt;",'📋 Inventaire Complet'!$L$3:$L$517,"*En examen*")</f>
        <v>8</v>
      </c>
      <c r="H14" s="136">
        <f>COUNTIFS('📋 Inventaire Complet'!$B$3:$B$517,"*Mineral Processing &amp; Strategic Synthesis*",'📋 Inventaire Complet'!$D$3:$D$517,"&lt;&gt;",'📋 Inventaire Complet'!$L$3:$L$517,"*Abandonné*")+COUNTIFS('📋 Inventaire Complet'!$B$3:$B$517,"*Mineral Processing &amp; Strategic Synthesis*",'📋 Inventaire Complet'!$D$3:$D$517,"&lt;&gt;",'📋 Inventaire Complet'!$L$3:$L$517,"*Rejeté*")</f>
        <v>34</v>
      </c>
      <c r="I14" s="137" t="s">
        <v>2239</v>
      </c>
    </row>
    <row r="15" spans="1:9" ht="35" x14ac:dyDescent="0.35">
      <c r="A15" s="273"/>
      <c r="B15" s="6" t="s">
        <v>1995</v>
      </c>
      <c r="C15" s="139">
        <f>COUNTIFS('📋 Inventaire Complet'!$B$3:$B$517,"*Mineral Processing &amp; Strategic Synthesis*",'📋 Inventaire Complet'!$C$3:$C$517,"Ferrites, nanomatériaux magnétiques &amp; magnétocaloriques",'📋 Inventaire Complet'!$D$3:$D$517,"&lt;&gt;")</f>
        <v>18</v>
      </c>
      <c r="D15" s="140">
        <f>COUNTIFS('📋 Inventaire Complet'!$B$3:$B$517,"*Mineral Processing &amp; Strategic Synthesis*",'📋 Inventaire Complet'!$C$3:$C$517,"Ferrites, nanomatériaux magnétiques &amp; magnétocaloriques",'📋 Inventaire Complet'!$D$3:$D$517,"&lt;&gt;",'📋 Inventaire Complet'!$L$3:$L$517,"*Délivré*")</f>
        <v>0</v>
      </c>
      <c r="E15" s="141">
        <f>COUNTIFS('📋 Inventaire Complet'!$B$3:$B$517,"*Mineral Processing &amp; Strategic Synthesis*",'📋 Inventaire Complet'!$C$3:$C$517,"Ferrites, nanomatériaux magnétiques &amp; magnétocaloriques",'📋 Inventaire Complet'!$D$3:$D$517,"&lt;&gt;",'📋 Inventaire Complet'!$L$3:$L$517,"*Maintenu*")</f>
        <v>13</v>
      </c>
      <c r="F15" s="142">
        <f>COUNTIFS('📋 Inventaire Complet'!$B$3:$B$517,"*Mineral Processing &amp; Strategic Synthesis*",'📋 Inventaire Complet'!$C$3:$C$517,"Ferrites, nanomatériaux magnétiques &amp; magnétocaloriques",'📋 Inventaire Complet'!$D$3:$D$517,"&lt;&gt;",'📋 Inventaire Complet'!$L$3:$L$517,"*PCT*")</f>
        <v>0</v>
      </c>
      <c r="G15" s="143">
        <f>COUNTIFS('📋 Inventaire Complet'!$B$3:$B$517,"*Mineral Processing &amp; Strategic Synthesis*",'📋 Inventaire Complet'!$C$3:$C$517,"Ferrites, nanomatériaux magnétiques &amp; magnétocaloriques",'📋 Inventaire Complet'!$D$3:$D$517,"&lt;&gt;",'📋 Inventaire Complet'!$L$3:$L$517,"*OMPIC*")+COUNTIFS('📋 Inventaire Complet'!$B$3:$B$517,"*Mineral Processing &amp; Strategic Synthesis*",'📋 Inventaire Complet'!$C$3:$C$517,"Ferrites, nanomatériaux magnétiques &amp; magnétocaloriques",'📋 Inventaire Complet'!$D$3:$D$517,"&lt;&gt;",'📋 Inventaire Complet'!$L$3:$L$517,"*En examen*")</f>
        <v>0</v>
      </c>
      <c r="H15" s="144">
        <f>COUNTIFS('📋 Inventaire Complet'!$B$3:$B$517,"*Mineral Processing &amp; Strategic Synthesis*",'📋 Inventaire Complet'!$C$3:$C$517,"Ferrites, nanomatériaux magnétiques &amp; magnétocaloriques",'📋 Inventaire Complet'!$D$3:$D$517,"&lt;&gt;",'📋 Inventaire Complet'!$L$3:$L$517,"*Abandonné*")+COUNTIFS('📋 Inventaire Complet'!$B$3:$B$517,"*Mineral Processing &amp; Strategic Synthesis*",'📋 Inventaire Complet'!$C$3:$C$517,"Ferrites, nanomatériaux magnétiques &amp; magnétocaloriques",'📋 Inventaire Complet'!$D$3:$D$517,"&lt;&gt;",'📋 Inventaire Complet'!$L$3:$L$517,"*Rejeté*")</f>
        <v>2</v>
      </c>
      <c r="I15" s="7" t="s">
        <v>21</v>
      </c>
    </row>
    <row r="16" spans="1:9" x14ac:dyDescent="0.35">
      <c r="A16" s="273"/>
      <c r="B16" s="8" t="s">
        <v>2022</v>
      </c>
      <c r="C16" s="145">
        <f>COUNTIFS('📋 Inventaire Complet'!$B$3:$B$517,"*Mineral Processing &amp; Strategic Synthesis*",'📋 Inventaire Complet'!$C$3:$C$517,"Fertilisants phosphatés &amp; sels de phosphate",'📋 Inventaire Complet'!$D$3:$D$517,"&lt;&gt;")</f>
        <v>17</v>
      </c>
      <c r="D16" s="146">
        <f>COUNTIFS('📋 Inventaire Complet'!$B$3:$B$517,"*Mineral Processing &amp; Strategic Synthesis*",'📋 Inventaire Complet'!$C$3:$C$517,"Fertilisants phosphatés &amp; sels de phosphate",'📋 Inventaire Complet'!$D$3:$D$517,"&lt;&gt;",'📋 Inventaire Complet'!$L$3:$L$517,"*Délivré*")</f>
        <v>2</v>
      </c>
      <c r="E16" s="147">
        <f>COUNTIFS('📋 Inventaire Complet'!$B$3:$B$517,"*Mineral Processing &amp; Strategic Synthesis*",'📋 Inventaire Complet'!$C$3:$C$517,"Fertilisants phosphatés &amp; sels de phosphate",'📋 Inventaire Complet'!$D$3:$D$517,"&lt;&gt;",'📋 Inventaire Complet'!$L$3:$L$517,"*Maintenu*")</f>
        <v>3</v>
      </c>
      <c r="F16" s="148">
        <f>COUNTIFS('📋 Inventaire Complet'!$B$3:$B$517,"*Mineral Processing &amp; Strategic Synthesis*",'📋 Inventaire Complet'!$C$3:$C$517,"Fertilisants phosphatés &amp; sels de phosphate",'📋 Inventaire Complet'!$D$3:$D$517,"&lt;&gt;",'📋 Inventaire Complet'!$L$3:$L$517,"*PCT*")</f>
        <v>2</v>
      </c>
      <c r="G16" s="149">
        <f>COUNTIFS('📋 Inventaire Complet'!$B$3:$B$517,"*Mineral Processing &amp; Strategic Synthesis*",'📋 Inventaire Complet'!$C$3:$C$517,"Fertilisants phosphatés &amp; sels de phosphate",'📋 Inventaire Complet'!$D$3:$D$517,"&lt;&gt;",'📋 Inventaire Complet'!$L$3:$L$517,"*OMPIC*")+COUNTIFS('📋 Inventaire Complet'!$B$3:$B$517,"*Mineral Processing &amp; Strategic Synthesis*",'📋 Inventaire Complet'!$C$3:$C$517,"Fertilisants phosphatés &amp; sels de phosphate",'📋 Inventaire Complet'!$D$3:$D$517,"&lt;&gt;",'📋 Inventaire Complet'!$L$3:$L$517,"*En examen*")</f>
        <v>2</v>
      </c>
      <c r="H16" s="150">
        <f>COUNTIFS('📋 Inventaire Complet'!$B$3:$B$517,"*Mineral Processing &amp; Strategic Synthesis*",'📋 Inventaire Complet'!$C$3:$C$517,"Fertilisants phosphatés &amp; sels de phosphate",'📋 Inventaire Complet'!$D$3:$D$517,"&lt;&gt;",'📋 Inventaire Complet'!$L$3:$L$517,"*Abandonné*")+COUNTIFS('📋 Inventaire Complet'!$B$3:$B$517,"*Mineral Processing &amp; Strategic Synthesis*",'📋 Inventaire Complet'!$C$3:$C$517,"Fertilisants phosphatés &amp; sels de phosphate",'📋 Inventaire Complet'!$D$3:$D$517,"&lt;&gt;",'📋 Inventaire Complet'!$L$3:$L$517,"*Rejeté*")</f>
        <v>6</v>
      </c>
      <c r="I16" s="3" t="s">
        <v>2240</v>
      </c>
    </row>
    <row r="17" spans="1:9" x14ac:dyDescent="0.35">
      <c r="A17" s="273"/>
      <c r="B17" s="8" t="s">
        <v>2031</v>
      </c>
      <c r="C17" s="145">
        <f>COUNTIFS('📋 Inventaire Complet'!$B$3:$B$517,"*Mineral Processing &amp; Strategic Synthesis*",'📋 Inventaire Complet'!$C$3:$C$517,"Flottation &amp; enrichissement des minerais",'📋 Inventaire Complet'!$D$3:$D$517,"&lt;&gt;")</f>
        <v>5</v>
      </c>
      <c r="D17" s="146">
        <f>COUNTIFS('📋 Inventaire Complet'!$B$3:$B$517,"*Mineral Processing &amp; Strategic Synthesis*",'📋 Inventaire Complet'!$C$3:$C$517,"Flottation &amp; enrichissement des minerais",'📋 Inventaire Complet'!$D$3:$D$517,"&lt;&gt;",'📋 Inventaire Complet'!$L$3:$L$517,"*Délivré*")</f>
        <v>0</v>
      </c>
      <c r="E17" s="147">
        <f>COUNTIFS('📋 Inventaire Complet'!$B$3:$B$517,"*Mineral Processing &amp; Strategic Synthesis*",'📋 Inventaire Complet'!$C$3:$C$517,"Flottation &amp; enrichissement des minerais",'📋 Inventaire Complet'!$D$3:$D$517,"&lt;&gt;",'📋 Inventaire Complet'!$L$3:$L$517,"*Maintenu*")</f>
        <v>0</v>
      </c>
      <c r="F17" s="148">
        <f>COUNTIFS('📋 Inventaire Complet'!$B$3:$B$517,"*Mineral Processing &amp; Strategic Synthesis*",'📋 Inventaire Complet'!$C$3:$C$517,"Flottation &amp; enrichissement des minerais",'📋 Inventaire Complet'!$D$3:$D$517,"&lt;&gt;",'📋 Inventaire Complet'!$L$3:$L$517,"*PCT*")</f>
        <v>0</v>
      </c>
      <c r="G17" s="149">
        <f>COUNTIFS('📋 Inventaire Complet'!$B$3:$B$517,"*Mineral Processing &amp; Strategic Synthesis*",'📋 Inventaire Complet'!$C$3:$C$517,"Flottation &amp; enrichissement des minerais",'📋 Inventaire Complet'!$D$3:$D$517,"&lt;&gt;",'📋 Inventaire Complet'!$L$3:$L$517,"*OMPIC*")+COUNTIFS('📋 Inventaire Complet'!$B$3:$B$517,"*Mineral Processing &amp; Strategic Synthesis*",'📋 Inventaire Complet'!$C$3:$C$517,"Flottation &amp; enrichissement des minerais",'📋 Inventaire Complet'!$D$3:$D$517,"&lt;&gt;",'📋 Inventaire Complet'!$L$3:$L$517,"*En examen*")</f>
        <v>1</v>
      </c>
      <c r="H17" s="150">
        <f>COUNTIFS('📋 Inventaire Complet'!$B$3:$B$517,"*Mineral Processing &amp; Strategic Synthesis*",'📋 Inventaire Complet'!$C$3:$C$517,"Flottation &amp; enrichissement des minerais",'📋 Inventaire Complet'!$D$3:$D$517,"&lt;&gt;",'📋 Inventaire Complet'!$L$3:$L$517,"*Abandonné*")+COUNTIFS('📋 Inventaire Complet'!$B$3:$B$517,"*Mineral Processing &amp; Strategic Synthesis*",'📋 Inventaire Complet'!$C$3:$C$517,"Flottation &amp; enrichissement des minerais",'📋 Inventaire Complet'!$D$3:$D$517,"&lt;&gt;",'📋 Inventaire Complet'!$L$3:$L$517,"*Rejeté*")</f>
        <v>4</v>
      </c>
      <c r="I17" s="3" t="s">
        <v>2241</v>
      </c>
    </row>
    <row r="18" spans="1:9" x14ac:dyDescent="0.35">
      <c r="A18" s="273"/>
      <c r="B18" s="8" t="s">
        <v>2034</v>
      </c>
      <c r="C18" s="145">
        <f>COUNTIFS('📋 Inventaire Complet'!$B$3:$B$517,"*Mineral Processing &amp; Strategic Synthesis*",'📋 Inventaire Complet'!$C$3:$C$517,"Matériaux composites, verre &amp; catalyseurs",'📋 Inventaire Complet'!$D$3:$D$517,"&lt;&gt;")</f>
        <v>12</v>
      </c>
      <c r="D18" s="146">
        <f>COUNTIFS('📋 Inventaire Complet'!$B$3:$B$517,"*Mineral Processing &amp; Strategic Synthesis*",'📋 Inventaire Complet'!$C$3:$C$517,"Matériaux composites, verre &amp; catalyseurs",'📋 Inventaire Complet'!$D$3:$D$517,"&lt;&gt;",'📋 Inventaire Complet'!$L$3:$L$517,"*Délivré*")</f>
        <v>0</v>
      </c>
      <c r="E18" s="147">
        <f>COUNTIFS('📋 Inventaire Complet'!$B$3:$B$517,"*Mineral Processing &amp; Strategic Synthesis*",'📋 Inventaire Complet'!$C$3:$C$517,"Matériaux composites, verre &amp; catalyseurs",'📋 Inventaire Complet'!$D$3:$D$517,"&lt;&gt;",'📋 Inventaire Complet'!$L$3:$L$517,"*Maintenu*")</f>
        <v>4</v>
      </c>
      <c r="F18" s="148">
        <f>COUNTIFS('📋 Inventaire Complet'!$B$3:$B$517,"*Mineral Processing &amp; Strategic Synthesis*",'📋 Inventaire Complet'!$C$3:$C$517,"Matériaux composites, verre &amp; catalyseurs",'📋 Inventaire Complet'!$D$3:$D$517,"&lt;&gt;",'📋 Inventaire Complet'!$L$3:$L$517,"*PCT*")</f>
        <v>0</v>
      </c>
      <c r="G18" s="149">
        <f>COUNTIFS('📋 Inventaire Complet'!$B$3:$B$517,"*Mineral Processing &amp; Strategic Synthesis*",'📋 Inventaire Complet'!$C$3:$C$517,"Matériaux composites, verre &amp; catalyseurs",'📋 Inventaire Complet'!$D$3:$D$517,"&lt;&gt;",'📋 Inventaire Complet'!$L$3:$L$517,"*OMPIC*")+COUNTIFS('📋 Inventaire Complet'!$B$3:$B$517,"*Mineral Processing &amp; Strategic Synthesis*",'📋 Inventaire Complet'!$C$3:$C$517,"Matériaux composites, verre &amp; catalyseurs",'📋 Inventaire Complet'!$D$3:$D$517,"&lt;&gt;",'📋 Inventaire Complet'!$L$3:$L$517,"*En examen*")</f>
        <v>0</v>
      </c>
      <c r="H18" s="150">
        <f>COUNTIFS('📋 Inventaire Complet'!$B$3:$B$517,"*Mineral Processing &amp; Strategic Synthesis*",'📋 Inventaire Complet'!$C$3:$C$517,"Matériaux composites, verre &amp; catalyseurs",'📋 Inventaire Complet'!$D$3:$D$517,"&lt;&gt;",'📋 Inventaire Complet'!$L$3:$L$517,"*Abandonné*")+COUNTIFS('📋 Inventaire Complet'!$B$3:$B$517,"*Mineral Processing &amp; Strategic Synthesis*",'📋 Inventaire Complet'!$C$3:$C$517,"Matériaux composites, verre &amp; catalyseurs",'📋 Inventaire Complet'!$D$3:$D$517,"&lt;&gt;",'📋 Inventaire Complet'!$L$3:$L$517,"*Rejeté*")</f>
        <v>1</v>
      </c>
      <c r="I18" s="3" t="s">
        <v>2242</v>
      </c>
    </row>
    <row r="19" spans="1:9" x14ac:dyDescent="0.35">
      <c r="A19" s="273"/>
      <c r="B19" s="8" t="s">
        <v>2051</v>
      </c>
      <c r="C19" s="145">
        <f>COUNTIFS('📋 Inventaire Complet'!$B$3:$B$517,"*Mineral Processing &amp; Strategic Synthesis*",'📋 Inventaire Complet'!$C$3:$C$517,"Phosphogypse, gypse &amp; co-produits",'📋 Inventaire Complet'!$D$3:$D$517,"&lt;&gt;")</f>
        <v>3</v>
      </c>
      <c r="D19" s="146">
        <f>COUNTIFS('📋 Inventaire Complet'!$B$3:$B$517,"*Mineral Processing &amp; Strategic Synthesis*",'📋 Inventaire Complet'!$C$3:$C$517,"Phosphogypse, gypse &amp; co-produits",'📋 Inventaire Complet'!$D$3:$D$517,"&lt;&gt;",'📋 Inventaire Complet'!$L$3:$L$517,"*Délivré*")</f>
        <v>1</v>
      </c>
      <c r="E19" s="147">
        <f>COUNTIFS('📋 Inventaire Complet'!$B$3:$B$517,"*Mineral Processing &amp; Strategic Synthesis*",'📋 Inventaire Complet'!$C$3:$C$517,"Phosphogypse, gypse &amp; co-produits",'📋 Inventaire Complet'!$D$3:$D$517,"&lt;&gt;",'📋 Inventaire Complet'!$L$3:$L$517,"*Maintenu*")</f>
        <v>0</v>
      </c>
      <c r="F19" s="148">
        <f>COUNTIFS('📋 Inventaire Complet'!$B$3:$B$517,"*Mineral Processing &amp; Strategic Synthesis*",'📋 Inventaire Complet'!$C$3:$C$517,"Phosphogypse, gypse &amp; co-produits",'📋 Inventaire Complet'!$D$3:$D$517,"&lt;&gt;",'📋 Inventaire Complet'!$L$3:$L$517,"*PCT*")</f>
        <v>0</v>
      </c>
      <c r="G19" s="149">
        <f>COUNTIFS('📋 Inventaire Complet'!$B$3:$B$517,"*Mineral Processing &amp; Strategic Synthesis*",'📋 Inventaire Complet'!$C$3:$C$517,"Phosphogypse, gypse &amp; co-produits",'📋 Inventaire Complet'!$D$3:$D$517,"&lt;&gt;",'📋 Inventaire Complet'!$L$3:$L$517,"*OMPIC*")+COUNTIFS('📋 Inventaire Complet'!$B$3:$B$517,"*Mineral Processing &amp; Strategic Synthesis*",'📋 Inventaire Complet'!$C$3:$C$517,"Phosphogypse, gypse &amp; co-produits",'📋 Inventaire Complet'!$D$3:$D$517,"&lt;&gt;",'📋 Inventaire Complet'!$L$3:$L$517,"*En examen*")</f>
        <v>0</v>
      </c>
      <c r="H19" s="150">
        <f>COUNTIFS('📋 Inventaire Complet'!$B$3:$B$517,"*Mineral Processing &amp; Strategic Synthesis*",'📋 Inventaire Complet'!$C$3:$C$517,"Phosphogypse, gypse &amp; co-produits",'📋 Inventaire Complet'!$D$3:$D$517,"&lt;&gt;",'📋 Inventaire Complet'!$L$3:$L$517,"*Abandonné*")+COUNTIFS('📋 Inventaire Complet'!$B$3:$B$517,"*Mineral Processing &amp; Strategic Synthesis*",'📋 Inventaire Complet'!$C$3:$C$517,"Phosphogypse, gypse &amp; co-produits",'📋 Inventaire Complet'!$D$3:$D$517,"&lt;&gt;",'📋 Inventaire Complet'!$L$3:$L$517,"*Rejeté*")</f>
        <v>2</v>
      </c>
      <c r="I19" s="3" t="s">
        <v>1912</v>
      </c>
    </row>
    <row r="20" spans="1:9" x14ac:dyDescent="0.35">
      <c r="A20" s="273"/>
      <c r="B20" s="8" t="s">
        <v>2052</v>
      </c>
      <c r="C20" s="145">
        <f>COUNTIFS('📋 Inventaire Complet'!$B$3:$B$517,"*Mineral Processing &amp; Strategic Synthesis*",'📋 Inventaire Complet'!$C$3:$C$517,"Potasse, carnallite &amp; saumures",'📋 Inventaire Complet'!$D$3:$D$517,"&lt;&gt;")</f>
        <v>2</v>
      </c>
      <c r="D20" s="146">
        <f>COUNTIFS('📋 Inventaire Complet'!$B$3:$B$517,"*Mineral Processing &amp; Strategic Synthesis*",'📋 Inventaire Complet'!$C$3:$C$517,"Potasse, carnallite &amp; saumures",'📋 Inventaire Complet'!$D$3:$D$517,"&lt;&gt;",'📋 Inventaire Complet'!$L$3:$L$517,"*Délivré*")</f>
        <v>0</v>
      </c>
      <c r="E20" s="147">
        <f>COUNTIFS('📋 Inventaire Complet'!$B$3:$B$517,"*Mineral Processing &amp; Strategic Synthesis*",'📋 Inventaire Complet'!$C$3:$C$517,"Potasse, carnallite &amp; saumures",'📋 Inventaire Complet'!$D$3:$D$517,"&lt;&gt;",'📋 Inventaire Complet'!$L$3:$L$517,"*Maintenu*")</f>
        <v>0</v>
      </c>
      <c r="F20" s="148">
        <f>COUNTIFS('📋 Inventaire Complet'!$B$3:$B$517,"*Mineral Processing &amp; Strategic Synthesis*",'📋 Inventaire Complet'!$C$3:$C$517,"Potasse, carnallite &amp; saumures",'📋 Inventaire Complet'!$D$3:$D$517,"&lt;&gt;",'📋 Inventaire Complet'!$L$3:$L$517,"*PCT*")</f>
        <v>2</v>
      </c>
      <c r="G20" s="149">
        <f>COUNTIFS('📋 Inventaire Complet'!$B$3:$B$517,"*Mineral Processing &amp; Strategic Synthesis*",'📋 Inventaire Complet'!$C$3:$C$517,"Potasse, carnallite &amp; saumures",'📋 Inventaire Complet'!$D$3:$D$517,"&lt;&gt;",'📋 Inventaire Complet'!$L$3:$L$517,"*OMPIC*")+COUNTIFS('📋 Inventaire Complet'!$B$3:$B$517,"*Mineral Processing &amp; Strategic Synthesis*",'📋 Inventaire Complet'!$C$3:$C$517,"Potasse, carnallite &amp; saumures",'📋 Inventaire Complet'!$D$3:$D$517,"&lt;&gt;",'📋 Inventaire Complet'!$L$3:$L$517,"*En examen*")</f>
        <v>0</v>
      </c>
      <c r="H20" s="150">
        <f>COUNTIFS('📋 Inventaire Complet'!$B$3:$B$517,"*Mineral Processing &amp; Strategic Synthesis*",'📋 Inventaire Complet'!$C$3:$C$517,"Potasse, carnallite &amp; saumures",'📋 Inventaire Complet'!$D$3:$D$517,"&lt;&gt;",'📋 Inventaire Complet'!$L$3:$L$517,"*Abandonné*")+COUNTIFS('📋 Inventaire Complet'!$B$3:$B$517,"*Mineral Processing &amp; Strategic Synthesis*",'📋 Inventaire Complet'!$C$3:$C$517,"Potasse, carnallite &amp; saumures",'📋 Inventaire Complet'!$D$3:$D$517,"&lt;&gt;",'📋 Inventaire Complet'!$L$3:$L$517,"*Rejeté*")</f>
        <v>0</v>
      </c>
      <c r="I20" s="3" t="s">
        <v>2243</v>
      </c>
    </row>
    <row r="21" spans="1:9" ht="35" x14ac:dyDescent="0.35">
      <c r="A21" s="273"/>
      <c r="B21" s="8" t="s">
        <v>2055</v>
      </c>
      <c r="C21" s="145">
        <f>COUNTIFS('📋 Inventaire Complet'!$B$3:$B$517,"*Mineral Processing &amp; Strategic Synthesis*",'📋 Inventaire Complet'!$C$3:$C$517,"Procédés thermiques, calcination &amp; traitement à sec",'📋 Inventaire Complet'!$D$3:$D$517,"&lt;&gt;")</f>
        <v>4</v>
      </c>
      <c r="D21" s="146">
        <f>COUNTIFS('📋 Inventaire Complet'!$B$3:$B$517,"*Mineral Processing &amp; Strategic Synthesis*",'📋 Inventaire Complet'!$C$3:$C$517,"Procédés thermiques, calcination &amp; traitement à sec",'📋 Inventaire Complet'!$D$3:$D$517,"&lt;&gt;",'📋 Inventaire Complet'!$L$3:$L$517,"*Délivré*")</f>
        <v>0</v>
      </c>
      <c r="E21" s="147">
        <f>COUNTIFS('📋 Inventaire Complet'!$B$3:$B$517,"*Mineral Processing &amp; Strategic Synthesis*",'📋 Inventaire Complet'!$C$3:$C$517,"Procédés thermiques, calcination &amp; traitement à sec",'📋 Inventaire Complet'!$D$3:$D$517,"&lt;&gt;",'📋 Inventaire Complet'!$L$3:$L$517,"*Maintenu*")</f>
        <v>0</v>
      </c>
      <c r="F21" s="148">
        <f>COUNTIFS('📋 Inventaire Complet'!$B$3:$B$517,"*Mineral Processing &amp; Strategic Synthesis*",'📋 Inventaire Complet'!$C$3:$C$517,"Procédés thermiques, calcination &amp; traitement à sec",'📋 Inventaire Complet'!$D$3:$D$517,"&lt;&gt;",'📋 Inventaire Complet'!$L$3:$L$517,"*PCT*")</f>
        <v>0</v>
      </c>
      <c r="G21" s="149">
        <f>COUNTIFS('📋 Inventaire Complet'!$B$3:$B$517,"*Mineral Processing &amp; Strategic Synthesis*",'📋 Inventaire Complet'!$C$3:$C$517,"Procédés thermiques, calcination &amp; traitement à sec",'📋 Inventaire Complet'!$D$3:$D$517,"&lt;&gt;",'📋 Inventaire Complet'!$L$3:$L$517,"*OMPIC*")+COUNTIFS('📋 Inventaire Complet'!$B$3:$B$517,"*Mineral Processing &amp; Strategic Synthesis*",'📋 Inventaire Complet'!$C$3:$C$517,"Procédés thermiques, calcination &amp; traitement à sec",'📋 Inventaire Complet'!$D$3:$D$517,"&lt;&gt;",'📋 Inventaire Complet'!$L$3:$L$517,"*En examen*")</f>
        <v>2</v>
      </c>
      <c r="H21" s="150">
        <f>COUNTIFS('📋 Inventaire Complet'!$B$3:$B$517,"*Mineral Processing &amp; Strategic Synthesis*",'📋 Inventaire Complet'!$C$3:$C$517,"Procédés thermiques, calcination &amp; traitement à sec",'📋 Inventaire Complet'!$D$3:$D$517,"&lt;&gt;",'📋 Inventaire Complet'!$L$3:$L$517,"*Abandonné*")+COUNTIFS('📋 Inventaire Complet'!$B$3:$B$517,"*Mineral Processing &amp; Strategic Synthesis*",'📋 Inventaire Complet'!$C$3:$C$517,"Procédés thermiques, calcination &amp; traitement à sec",'📋 Inventaire Complet'!$D$3:$D$517,"&lt;&gt;",'📋 Inventaire Complet'!$L$3:$L$517,"*Rejeté*")</f>
        <v>0</v>
      </c>
      <c r="I21" s="3" t="s">
        <v>2244</v>
      </c>
    </row>
    <row r="22" spans="1:9" ht="35" x14ac:dyDescent="0.35">
      <c r="A22" s="273"/>
      <c r="B22" s="8" t="s">
        <v>2060</v>
      </c>
      <c r="C22" s="145">
        <f>COUNTIFS('📋 Inventaire Complet'!$B$3:$B$517,"*Mineral Processing &amp; Strategic Synthesis*",'📋 Inventaire Complet'!$C$3:$C$517,"Purification/démétallisation de l’acide phosphorique",'📋 Inventaire Complet'!$D$3:$D$517,"&lt;&gt;")</f>
        <v>19</v>
      </c>
      <c r="D22" s="146">
        <f>COUNTIFS('📋 Inventaire Complet'!$B$3:$B$517,"*Mineral Processing &amp; Strategic Synthesis*",'📋 Inventaire Complet'!$C$3:$C$517,"Purification/démétallisation de l’acide phosphorique",'📋 Inventaire Complet'!$D$3:$D$517,"&lt;&gt;",'📋 Inventaire Complet'!$L$3:$L$517,"*Délivré*")</f>
        <v>6</v>
      </c>
      <c r="E22" s="147">
        <f>COUNTIFS('📋 Inventaire Complet'!$B$3:$B$517,"*Mineral Processing &amp; Strategic Synthesis*",'📋 Inventaire Complet'!$C$3:$C$517,"Purification/démétallisation de l’acide phosphorique",'📋 Inventaire Complet'!$D$3:$D$517,"&lt;&gt;",'📋 Inventaire Complet'!$L$3:$L$517,"*Maintenu*")</f>
        <v>0</v>
      </c>
      <c r="F22" s="148">
        <f>COUNTIFS('📋 Inventaire Complet'!$B$3:$B$517,"*Mineral Processing &amp; Strategic Synthesis*",'📋 Inventaire Complet'!$C$3:$C$517,"Purification/démétallisation de l’acide phosphorique",'📋 Inventaire Complet'!$D$3:$D$517,"&lt;&gt;",'📋 Inventaire Complet'!$L$3:$L$517,"*PCT*")</f>
        <v>1</v>
      </c>
      <c r="G22" s="149">
        <f>COUNTIFS('📋 Inventaire Complet'!$B$3:$B$517,"*Mineral Processing &amp; Strategic Synthesis*",'📋 Inventaire Complet'!$C$3:$C$517,"Purification/démétallisation de l’acide phosphorique",'📋 Inventaire Complet'!$D$3:$D$517,"&lt;&gt;",'📋 Inventaire Complet'!$L$3:$L$517,"*OMPIC*")+COUNTIFS('📋 Inventaire Complet'!$B$3:$B$517,"*Mineral Processing &amp; Strategic Synthesis*",'📋 Inventaire Complet'!$C$3:$C$517,"Purification/démétallisation de l’acide phosphorique",'📋 Inventaire Complet'!$D$3:$D$517,"&lt;&gt;",'📋 Inventaire Complet'!$L$3:$L$517,"*En examen*")</f>
        <v>2</v>
      </c>
      <c r="H22" s="150">
        <f>COUNTIFS('📋 Inventaire Complet'!$B$3:$B$517,"*Mineral Processing &amp; Strategic Synthesis*",'📋 Inventaire Complet'!$C$3:$C$517,"Purification/démétallisation de l’acide phosphorique",'📋 Inventaire Complet'!$D$3:$D$517,"&lt;&gt;",'📋 Inventaire Complet'!$L$3:$L$517,"*Abandonné*")+COUNTIFS('📋 Inventaire Complet'!$B$3:$B$517,"*Mineral Processing &amp; Strategic Synthesis*",'📋 Inventaire Complet'!$C$3:$C$517,"Purification/démétallisation de l’acide phosphorique",'📋 Inventaire Complet'!$D$3:$D$517,"&lt;&gt;",'📋 Inventaire Complet'!$L$3:$L$517,"*Rejeté*")</f>
        <v>9</v>
      </c>
      <c r="I22" s="3" t="s">
        <v>2245</v>
      </c>
    </row>
    <row r="23" spans="1:9" ht="36" x14ac:dyDescent="0.35">
      <c r="A23" s="273"/>
      <c r="B23" s="8" t="s">
        <v>2065</v>
      </c>
      <c r="C23" s="145">
        <f>COUNTIFS('📋 Inventaire Complet'!$B$3:$B$517,"*Mineral Processing &amp; Strategic Synthesis*",'📋 Inventaire Complet'!$C$3:$C$517,"Récupération terres rares, uranium &amp; métaux critiques",'📋 Inventaire Complet'!$D$3:$D$517,"&lt;&gt;")</f>
        <v>17</v>
      </c>
      <c r="D23" s="146">
        <f>COUNTIFS('📋 Inventaire Complet'!$B$3:$B$517,"*Mineral Processing &amp; Strategic Synthesis*",'📋 Inventaire Complet'!$C$3:$C$517,"Récupération terres rares, uranium &amp; métaux critiques",'📋 Inventaire Complet'!$D$3:$D$517,"&lt;&gt;",'📋 Inventaire Complet'!$L$3:$L$517,"*Délivré*")</f>
        <v>3</v>
      </c>
      <c r="E23" s="147">
        <f>COUNTIFS('📋 Inventaire Complet'!$B$3:$B$517,"*Mineral Processing &amp; Strategic Synthesis*",'📋 Inventaire Complet'!$C$3:$C$517,"Récupération terres rares, uranium &amp; métaux critiques",'📋 Inventaire Complet'!$D$3:$D$517,"&lt;&gt;",'📋 Inventaire Complet'!$L$3:$L$517,"*Maintenu*")</f>
        <v>1</v>
      </c>
      <c r="F23" s="148">
        <f>COUNTIFS('📋 Inventaire Complet'!$B$3:$B$517,"*Mineral Processing &amp; Strategic Synthesis*",'📋 Inventaire Complet'!$C$3:$C$517,"Récupération terres rares, uranium &amp; métaux critiques",'📋 Inventaire Complet'!$D$3:$D$517,"&lt;&gt;",'📋 Inventaire Complet'!$L$3:$L$517,"*PCT*")</f>
        <v>3</v>
      </c>
      <c r="G23" s="149">
        <f>COUNTIFS('📋 Inventaire Complet'!$B$3:$B$517,"*Mineral Processing &amp; Strategic Synthesis*",'📋 Inventaire Complet'!$C$3:$C$517,"Récupération terres rares, uranium &amp; métaux critiques",'📋 Inventaire Complet'!$D$3:$D$517,"&lt;&gt;",'📋 Inventaire Complet'!$L$3:$L$517,"*OMPIC*")+COUNTIFS('📋 Inventaire Complet'!$B$3:$B$517,"*Mineral Processing &amp; Strategic Synthesis*",'📋 Inventaire Complet'!$C$3:$C$517,"Récupération terres rares, uranium &amp; métaux critiques",'📋 Inventaire Complet'!$D$3:$D$517,"&lt;&gt;",'📋 Inventaire Complet'!$L$3:$L$517,"*En examen*")</f>
        <v>1</v>
      </c>
      <c r="H23" s="150">
        <f>COUNTIFS('📋 Inventaire Complet'!$B$3:$B$517,"*Mineral Processing &amp; Strategic Synthesis*",'📋 Inventaire Complet'!$C$3:$C$517,"Récupération terres rares, uranium &amp; métaux critiques",'📋 Inventaire Complet'!$D$3:$D$517,"&lt;&gt;",'📋 Inventaire Complet'!$L$3:$L$517,"*Abandonné*")+COUNTIFS('📋 Inventaire Complet'!$B$3:$B$517,"*Mineral Processing &amp; Strategic Synthesis*",'📋 Inventaire Complet'!$C$3:$C$517,"Récupération terres rares, uranium &amp; métaux critiques",'📋 Inventaire Complet'!$D$3:$D$517,"&lt;&gt;",'📋 Inventaire Complet'!$L$3:$L$517,"*Rejeté*")</f>
        <v>6</v>
      </c>
      <c r="I23" s="3" t="s">
        <v>2246</v>
      </c>
    </row>
    <row r="24" spans="1:9" ht="35.5" thickBot="1" x14ac:dyDescent="0.4">
      <c r="A24" s="274"/>
      <c r="B24" s="9" t="s">
        <v>2071</v>
      </c>
      <c r="C24" s="151">
        <f>COUNTIFS('📋 Inventaire Complet'!$B$3:$B$517,"*Mineral Processing &amp; Strategic Synthesis*",'📋 Inventaire Complet'!$C$3:$C$517,"Équipements miniers, échantillonnage &amp; séparation solide-liquide",'📋 Inventaire Complet'!$D$3:$D$517,"&lt;&gt;")</f>
        <v>4</v>
      </c>
      <c r="D24" s="152">
        <f>COUNTIFS('📋 Inventaire Complet'!$B$3:$B$517,"*Mineral Processing &amp; Strategic Synthesis*",'📋 Inventaire Complet'!$C$3:$C$517,"Équipements miniers, échantillonnage &amp; séparation solide-liquide",'📋 Inventaire Complet'!$D$3:$D$517,"&lt;&gt;",'📋 Inventaire Complet'!$L$3:$L$517,"*Délivré*")</f>
        <v>0</v>
      </c>
      <c r="E24" s="153">
        <f>COUNTIFS('📋 Inventaire Complet'!$B$3:$B$517,"*Mineral Processing &amp; Strategic Synthesis*",'📋 Inventaire Complet'!$C$3:$C$517,"Équipements miniers, échantillonnage &amp; séparation solide-liquide",'📋 Inventaire Complet'!$D$3:$D$517,"&lt;&gt;",'📋 Inventaire Complet'!$L$3:$L$517,"*Maintenu*")</f>
        <v>0</v>
      </c>
      <c r="F24" s="154">
        <f>COUNTIFS('📋 Inventaire Complet'!$B$3:$B$517,"*Mineral Processing &amp; Strategic Synthesis*",'📋 Inventaire Complet'!$C$3:$C$517,"Équipements miniers, échantillonnage &amp; séparation solide-liquide",'📋 Inventaire Complet'!$D$3:$D$517,"&lt;&gt;",'📋 Inventaire Complet'!$L$3:$L$517,"*PCT*")</f>
        <v>0</v>
      </c>
      <c r="G24" s="155">
        <f>COUNTIFS('📋 Inventaire Complet'!$B$3:$B$517,"*Mineral Processing &amp; Strategic Synthesis*",'📋 Inventaire Complet'!$C$3:$C$517,"Équipements miniers, échantillonnage &amp; séparation solide-liquide",'📋 Inventaire Complet'!$D$3:$D$517,"&lt;&gt;",'📋 Inventaire Complet'!$L$3:$L$517,"*OMPIC*")+COUNTIFS('📋 Inventaire Complet'!$B$3:$B$517,"*Mineral Processing &amp; Strategic Synthesis*",'📋 Inventaire Complet'!$C$3:$C$517,"Équipements miniers, échantillonnage &amp; séparation solide-liquide",'📋 Inventaire Complet'!$D$3:$D$517,"&lt;&gt;",'📋 Inventaire Complet'!$L$3:$L$517,"*En examen*")</f>
        <v>0</v>
      </c>
      <c r="H24" s="156">
        <f>COUNTIFS('📋 Inventaire Complet'!$B$3:$B$517,"*Mineral Processing &amp; Strategic Synthesis*",'📋 Inventaire Complet'!$C$3:$C$517,"Équipements miniers, échantillonnage &amp; séparation solide-liquide",'📋 Inventaire Complet'!$D$3:$D$517,"&lt;&gt;",'📋 Inventaire Complet'!$L$3:$L$517,"*Abandonné*")+COUNTIFS('📋 Inventaire Complet'!$B$3:$B$517,"*Mineral Processing &amp; Strategic Synthesis*",'📋 Inventaire Complet'!$C$3:$C$517,"Équipements miniers, échantillonnage &amp; séparation solide-liquide",'📋 Inventaire Complet'!$D$3:$D$517,"&lt;&gt;",'📋 Inventaire Complet'!$L$3:$L$517,"*Rejeté*")</f>
        <v>4</v>
      </c>
      <c r="I24" s="5" t="s">
        <v>2235</v>
      </c>
    </row>
    <row r="25" spans="1:9" ht="35" x14ac:dyDescent="0.35">
      <c r="A25" s="275" t="s">
        <v>1274</v>
      </c>
      <c r="B25" s="158" t="s">
        <v>2247</v>
      </c>
      <c r="C25" s="131">
        <f>COUNTIFS('📋 Inventaire Complet'!$B$3:$B$517,"*Circular Chemistry &amp; Waste Valorization*",'📋 Inventaire Complet'!$D$3:$D$517,"&lt;&gt;")</f>
        <v>49</v>
      </c>
      <c r="D25" s="132">
        <f>COUNTIFS('📋 Inventaire Complet'!$B$3:$B$517,"*Circular Chemistry &amp; Waste Valorization*",'📋 Inventaire Complet'!$D$3:$D$517,"&lt;&gt;",'📋 Inventaire Complet'!$L$3:$L$517,"*Délivré*")</f>
        <v>3</v>
      </c>
      <c r="E25" s="133">
        <f>COUNTIFS('📋 Inventaire Complet'!$B$3:$B$517,"*Circular Chemistry &amp; Waste Valorization*",'📋 Inventaire Complet'!$D$3:$D$517,"&lt;&gt;",'📋 Inventaire Complet'!$L$3:$L$517,"*Maintenu*")</f>
        <v>11</v>
      </c>
      <c r="F25" s="134">
        <f>COUNTIFS('📋 Inventaire Complet'!$B$3:$B$517,"*Circular Chemistry &amp; Waste Valorization*",'📋 Inventaire Complet'!$D$3:$D$517,"&lt;&gt;",'📋 Inventaire Complet'!$L$3:$L$517,"*PCT*")</f>
        <v>5</v>
      </c>
      <c r="G25" s="135">
        <f>COUNTIFS('📋 Inventaire Complet'!$B$3:$B$517,"*Circular Chemistry &amp; Waste Valorization*",'📋 Inventaire Complet'!$D$3:$D$517,"&lt;&gt;",'📋 Inventaire Complet'!$L$3:$L$517,"*OMPIC*")+COUNTIFS('📋 Inventaire Complet'!$B$3:$B$517,"*Circular Chemistry &amp; Waste Valorization*",'📋 Inventaire Complet'!$D$3:$D$517,"&lt;&gt;",'📋 Inventaire Complet'!$L$3:$L$517,"*En examen*")</f>
        <v>18</v>
      </c>
      <c r="H25" s="136">
        <f>COUNTIFS('📋 Inventaire Complet'!$B$3:$B$517,"*Circular Chemistry &amp; Waste Valorization*",'📋 Inventaire Complet'!$D$3:$D$517,"&lt;&gt;",'📋 Inventaire Complet'!$L$3:$L$517,"*Abandonné*")+COUNTIFS('📋 Inventaire Complet'!$B$3:$B$517,"*Circular Chemistry &amp; Waste Valorization*",'📋 Inventaire Complet'!$D$3:$D$517,"&lt;&gt;",'📋 Inventaire Complet'!$L$3:$L$517,"*Rejeté*")</f>
        <v>3</v>
      </c>
      <c r="I25" s="137" t="s">
        <v>2248</v>
      </c>
    </row>
    <row r="26" spans="1:9" ht="35" x14ac:dyDescent="0.35">
      <c r="A26" s="276"/>
      <c r="B26" s="10" t="s">
        <v>2073</v>
      </c>
      <c r="C26" s="139">
        <f>COUNTIFS('📋 Inventaire Complet'!$B$3:$B$517,"*Circular Chemistry &amp; Waste Valorization*",'📋 Inventaire Complet'!$C$3:$C$517,"Biomasse, biopolymères &amp; matériaux biosourcés",'📋 Inventaire Complet'!$D$3:$D$517,"&lt;&gt;")</f>
        <v>13</v>
      </c>
      <c r="D26" s="140">
        <f>COUNTIFS('📋 Inventaire Complet'!$B$3:$B$517,"*Circular Chemistry &amp; Waste Valorization*",'📋 Inventaire Complet'!$C$3:$C$517,"Biomasse, biopolymères &amp; matériaux biosourcés",'📋 Inventaire Complet'!$D$3:$D$517,"&lt;&gt;",'📋 Inventaire Complet'!$L$3:$L$517,"*Délivré*")</f>
        <v>0</v>
      </c>
      <c r="E26" s="141">
        <f>COUNTIFS('📋 Inventaire Complet'!$B$3:$B$517,"*Circular Chemistry &amp; Waste Valorization*",'📋 Inventaire Complet'!$C$3:$C$517,"Biomasse, biopolymères &amp; matériaux biosourcés",'📋 Inventaire Complet'!$D$3:$D$517,"&lt;&gt;",'📋 Inventaire Complet'!$L$3:$L$517,"*Maintenu*")</f>
        <v>3</v>
      </c>
      <c r="F26" s="142">
        <f>COUNTIFS('📋 Inventaire Complet'!$B$3:$B$517,"*Circular Chemistry &amp; Waste Valorization*",'📋 Inventaire Complet'!$C$3:$C$517,"Biomasse, biopolymères &amp; matériaux biosourcés",'📋 Inventaire Complet'!$D$3:$D$517,"&lt;&gt;",'📋 Inventaire Complet'!$L$3:$L$517,"*PCT*")</f>
        <v>0</v>
      </c>
      <c r="G26" s="143">
        <f>COUNTIFS('📋 Inventaire Complet'!$B$3:$B$517,"*Circular Chemistry &amp; Waste Valorization*",'📋 Inventaire Complet'!$C$3:$C$517,"Biomasse, biopolymères &amp; matériaux biosourcés",'📋 Inventaire Complet'!$D$3:$D$517,"&lt;&gt;",'📋 Inventaire Complet'!$L$3:$L$517,"*OMPIC*")+COUNTIFS('📋 Inventaire Complet'!$B$3:$B$517,"*Circular Chemistry &amp; Waste Valorization*",'📋 Inventaire Complet'!$C$3:$C$517,"Biomasse, biopolymères &amp; matériaux biosourcés",'📋 Inventaire Complet'!$D$3:$D$517,"&lt;&gt;",'📋 Inventaire Complet'!$L$3:$L$517,"*En examen*")</f>
        <v>5</v>
      </c>
      <c r="H26" s="144">
        <f>COUNTIFS('📋 Inventaire Complet'!$B$3:$B$517,"*Circular Chemistry &amp; Waste Valorization*",'📋 Inventaire Complet'!$C$3:$C$517,"Biomasse, biopolymères &amp; matériaux biosourcés",'📋 Inventaire Complet'!$D$3:$D$517,"&lt;&gt;",'📋 Inventaire Complet'!$L$3:$L$517,"*Abandonné*")+COUNTIFS('📋 Inventaire Complet'!$B$3:$B$517,"*Circular Chemistry &amp; Waste Valorization*",'📋 Inventaire Complet'!$C$3:$C$517,"Biomasse, biopolymères &amp; matériaux biosourcés",'📋 Inventaire Complet'!$D$3:$D$517,"&lt;&gt;",'📋 Inventaire Complet'!$L$3:$L$517,"*Rejeté*")</f>
        <v>1</v>
      </c>
      <c r="I26" s="7" t="s">
        <v>2249</v>
      </c>
    </row>
    <row r="27" spans="1:9" x14ac:dyDescent="0.35">
      <c r="A27" s="276"/>
      <c r="B27" s="11" t="s">
        <v>2090</v>
      </c>
      <c r="C27" s="145">
        <f>COUNTIFS('📋 Inventaire Complet'!$B$3:$B$517,"*Circular Chemistry &amp; Waste Valorization*",'📋 Inventaire Complet'!$C$3:$C$517,"Bioénergie, pyrolyse &amp; carbones",'📋 Inventaire Complet'!$D$3:$D$517,"&lt;&gt;")</f>
        <v>2</v>
      </c>
      <c r="D27" s="146">
        <f>COUNTIFS('📋 Inventaire Complet'!$B$3:$B$517,"*Circular Chemistry &amp; Waste Valorization*",'📋 Inventaire Complet'!$C$3:$C$517,"Bioénergie, pyrolyse &amp; carbones",'📋 Inventaire Complet'!$D$3:$D$517,"&lt;&gt;",'📋 Inventaire Complet'!$L$3:$L$517,"*Délivré*")</f>
        <v>0</v>
      </c>
      <c r="E27" s="147">
        <f>COUNTIFS('📋 Inventaire Complet'!$B$3:$B$517,"*Circular Chemistry &amp; Waste Valorization*",'📋 Inventaire Complet'!$C$3:$C$517,"Bioénergie, pyrolyse &amp; carbones",'📋 Inventaire Complet'!$D$3:$D$517,"&lt;&gt;",'📋 Inventaire Complet'!$L$3:$L$517,"*Maintenu*")</f>
        <v>0</v>
      </c>
      <c r="F27" s="148">
        <f>COUNTIFS('📋 Inventaire Complet'!$B$3:$B$517,"*Circular Chemistry &amp; Waste Valorization*",'📋 Inventaire Complet'!$C$3:$C$517,"Bioénergie, pyrolyse &amp; carbones",'📋 Inventaire Complet'!$D$3:$D$517,"&lt;&gt;",'📋 Inventaire Complet'!$L$3:$L$517,"*PCT*")</f>
        <v>1</v>
      </c>
      <c r="G27" s="149">
        <f>COUNTIFS('📋 Inventaire Complet'!$B$3:$B$517,"*Circular Chemistry &amp; Waste Valorization*",'📋 Inventaire Complet'!$C$3:$C$517,"Bioénergie, pyrolyse &amp; carbones",'📋 Inventaire Complet'!$D$3:$D$517,"&lt;&gt;",'📋 Inventaire Complet'!$L$3:$L$517,"*OMPIC*")+COUNTIFS('📋 Inventaire Complet'!$B$3:$B$517,"*Circular Chemistry &amp; Waste Valorization*",'📋 Inventaire Complet'!$C$3:$C$517,"Bioénergie, pyrolyse &amp; carbones",'📋 Inventaire Complet'!$D$3:$D$517,"&lt;&gt;",'📋 Inventaire Complet'!$L$3:$L$517,"*En examen*")</f>
        <v>1</v>
      </c>
      <c r="H27" s="150">
        <f>COUNTIFS('📋 Inventaire Complet'!$B$3:$B$517,"*Circular Chemistry &amp; Waste Valorization*",'📋 Inventaire Complet'!$C$3:$C$517,"Bioénergie, pyrolyse &amp; carbones",'📋 Inventaire Complet'!$D$3:$D$517,"&lt;&gt;",'📋 Inventaire Complet'!$L$3:$L$517,"*Abandonné*")+COUNTIFS('📋 Inventaire Complet'!$B$3:$B$517,"*Circular Chemistry &amp; Waste Valorization*",'📋 Inventaire Complet'!$C$3:$C$517,"Bioénergie, pyrolyse &amp; carbones",'📋 Inventaire Complet'!$D$3:$D$517,"&lt;&gt;",'📋 Inventaire Complet'!$L$3:$L$517,"*Rejeté*")</f>
        <v>0</v>
      </c>
      <c r="I27" s="3" t="s">
        <v>1721</v>
      </c>
    </row>
    <row r="28" spans="1:9" x14ac:dyDescent="0.35">
      <c r="A28" s="276"/>
      <c r="B28" s="11" t="s">
        <v>2093</v>
      </c>
      <c r="C28" s="145">
        <f>COUNTIFS('📋 Inventaire Complet'!$B$3:$B$517,"*Circular Chemistry &amp; Waste Valorization*",'📋 Inventaire Complet'!$C$3:$C$517,"Composites recyclés, plastiques &amp; pneus",'📋 Inventaire Complet'!$D$3:$D$517,"&lt;&gt;")</f>
        <v>7</v>
      </c>
      <c r="D28" s="146">
        <f>COUNTIFS('📋 Inventaire Complet'!$B$3:$B$517,"*Circular Chemistry &amp; Waste Valorization*",'📋 Inventaire Complet'!$C$3:$C$517,"Composites recyclés, plastiques &amp; pneus",'📋 Inventaire Complet'!$D$3:$D$517,"&lt;&gt;",'📋 Inventaire Complet'!$L$3:$L$517,"*Délivré*")</f>
        <v>0</v>
      </c>
      <c r="E28" s="147">
        <f>COUNTIFS('📋 Inventaire Complet'!$B$3:$B$517,"*Circular Chemistry &amp; Waste Valorization*",'📋 Inventaire Complet'!$C$3:$C$517,"Composites recyclés, plastiques &amp; pneus",'📋 Inventaire Complet'!$D$3:$D$517,"&lt;&gt;",'📋 Inventaire Complet'!$L$3:$L$517,"*Maintenu*")</f>
        <v>5</v>
      </c>
      <c r="F28" s="148">
        <f>COUNTIFS('📋 Inventaire Complet'!$B$3:$B$517,"*Circular Chemistry &amp; Waste Valorization*",'📋 Inventaire Complet'!$C$3:$C$517,"Composites recyclés, plastiques &amp; pneus",'📋 Inventaire Complet'!$D$3:$D$517,"&lt;&gt;",'📋 Inventaire Complet'!$L$3:$L$517,"*PCT*")</f>
        <v>0</v>
      </c>
      <c r="G28" s="149">
        <f>COUNTIFS('📋 Inventaire Complet'!$B$3:$B$517,"*Circular Chemistry &amp; Waste Valorization*",'📋 Inventaire Complet'!$C$3:$C$517,"Composites recyclés, plastiques &amp; pneus",'📋 Inventaire Complet'!$D$3:$D$517,"&lt;&gt;",'📋 Inventaire Complet'!$L$3:$L$517,"*OMPIC*")+COUNTIFS('📋 Inventaire Complet'!$B$3:$B$517,"*Circular Chemistry &amp; Waste Valorization*",'📋 Inventaire Complet'!$C$3:$C$517,"Composites recyclés, plastiques &amp; pneus",'📋 Inventaire Complet'!$D$3:$D$517,"&lt;&gt;",'📋 Inventaire Complet'!$L$3:$L$517,"*En examen*")</f>
        <v>1</v>
      </c>
      <c r="H28" s="150">
        <f>COUNTIFS('📋 Inventaire Complet'!$B$3:$B$517,"*Circular Chemistry &amp; Waste Valorization*",'📋 Inventaire Complet'!$C$3:$C$517,"Composites recyclés, plastiques &amp; pneus",'📋 Inventaire Complet'!$D$3:$D$517,"&lt;&gt;",'📋 Inventaire Complet'!$L$3:$L$517,"*Abandonné*")+COUNTIFS('📋 Inventaire Complet'!$B$3:$B$517,"*Circular Chemistry &amp; Waste Valorization*",'📋 Inventaire Complet'!$C$3:$C$517,"Composites recyclés, plastiques &amp; pneus",'📋 Inventaire Complet'!$D$3:$D$517,"&lt;&gt;",'📋 Inventaire Complet'!$L$3:$L$517,"*Rejeté*")</f>
        <v>0</v>
      </c>
      <c r="I28" s="3" t="s">
        <v>1722</v>
      </c>
    </row>
    <row r="29" spans="1:9" ht="35" x14ac:dyDescent="0.35">
      <c r="A29" s="276"/>
      <c r="B29" s="11" t="s">
        <v>2100</v>
      </c>
      <c r="C29" s="145">
        <f>COUNTIFS('📋 Inventaire Complet'!$B$3:$B$517,"*Circular Chemistry &amp; Waste Valorization*",'📋 Inventaire Complet'!$C$3:$C$517,"Dépollution, eau &amp; procédés environnementaux",'📋 Inventaire Complet'!$D$3:$D$517,"&lt;&gt;")</f>
        <v>3</v>
      </c>
      <c r="D29" s="146">
        <f>COUNTIFS('📋 Inventaire Complet'!$B$3:$B$517,"*Circular Chemistry &amp; Waste Valorization*",'📋 Inventaire Complet'!$C$3:$C$517,"Dépollution, eau &amp; procédés environnementaux",'📋 Inventaire Complet'!$D$3:$D$517,"&lt;&gt;",'📋 Inventaire Complet'!$L$3:$L$517,"*Délivré*")</f>
        <v>0</v>
      </c>
      <c r="E29" s="147">
        <f>COUNTIFS('📋 Inventaire Complet'!$B$3:$B$517,"*Circular Chemistry &amp; Waste Valorization*",'📋 Inventaire Complet'!$C$3:$C$517,"Dépollution, eau &amp; procédés environnementaux",'📋 Inventaire Complet'!$D$3:$D$517,"&lt;&gt;",'📋 Inventaire Complet'!$L$3:$L$517,"*Maintenu*")</f>
        <v>1</v>
      </c>
      <c r="F29" s="148">
        <f>COUNTIFS('📋 Inventaire Complet'!$B$3:$B$517,"*Circular Chemistry &amp; Waste Valorization*",'📋 Inventaire Complet'!$C$3:$C$517,"Dépollution, eau &amp; procédés environnementaux",'📋 Inventaire Complet'!$D$3:$D$517,"&lt;&gt;",'📋 Inventaire Complet'!$L$3:$L$517,"*PCT*")</f>
        <v>0</v>
      </c>
      <c r="G29" s="149">
        <f>COUNTIFS('📋 Inventaire Complet'!$B$3:$B$517,"*Circular Chemistry &amp; Waste Valorization*",'📋 Inventaire Complet'!$C$3:$C$517,"Dépollution, eau &amp; procédés environnementaux",'📋 Inventaire Complet'!$D$3:$D$517,"&lt;&gt;",'📋 Inventaire Complet'!$L$3:$L$517,"*OMPIC*")+COUNTIFS('📋 Inventaire Complet'!$B$3:$B$517,"*Circular Chemistry &amp; Waste Valorization*",'📋 Inventaire Complet'!$C$3:$C$517,"Dépollution, eau &amp; procédés environnementaux",'📋 Inventaire Complet'!$D$3:$D$517,"&lt;&gt;",'📋 Inventaire Complet'!$L$3:$L$517,"*En examen*")</f>
        <v>0</v>
      </c>
      <c r="H29" s="150">
        <f>COUNTIFS('📋 Inventaire Complet'!$B$3:$B$517,"*Circular Chemistry &amp; Waste Valorization*",'📋 Inventaire Complet'!$C$3:$C$517,"Dépollution, eau &amp; procédés environnementaux",'📋 Inventaire Complet'!$D$3:$D$517,"&lt;&gt;",'📋 Inventaire Complet'!$L$3:$L$517,"*Abandonné*")+COUNTIFS('📋 Inventaire Complet'!$B$3:$B$517,"*Circular Chemistry &amp; Waste Valorization*",'📋 Inventaire Complet'!$C$3:$C$517,"Dépollution, eau &amp; procédés environnementaux",'📋 Inventaire Complet'!$D$3:$D$517,"&lt;&gt;",'📋 Inventaire Complet'!$L$3:$L$517,"*Rejeté*")</f>
        <v>0</v>
      </c>
      <c r="I29" s="3" t="s">
        <v>2250</v>
      </c>
    </row>
    <row r="30" spans="1:9" ht="35" x14ac:dyDescent="0.35">
      <c r="A30" s="276"/>
      <c r="B30" s="11" t="s">
        <v>2105</v>
      </c>
      <c r="C30" s="145">
        <f>COUNTIFS('📋 Inventaire Complet'!$B$3:$B$517,"*Circular Chemistry &amp; Waste Valorization*",'📋 Inventaire Complet'!$C$3:$C$517,"Géopolymères, ciment &amp; matériaux de construction",'📋 Inventaire Complet'!$D$3:$D$517,"&lt;&gt;")</f>
        <v>3</v>
      </c>
      <c r="D30" s="146">
        <f>COUNTIFS('📋 Inventaire Complet'!$B$3:$B$517,"*Circular Chemistry &amp; Waste Valorization*",'📋 Inventaire Complet'!$C$3:$C$517,"Géopolymères, ciment &amp; matériaux de construction",'📋 Inventaire Complet'!$D$3:$D$517,"&lt;&gt;",'📋 Inventaire Complet'!$L$3:$L$517,"*Délivré*")</f>
        <v>0</v>
      </c>
      <c r="E30" s="147">
        <f>COUNTIFS('📋 Inventaire Complet'!$B$3:$B$517,"*Circular Chemistry &amp; Waste Valorization*",'📋 Inventaire Complet'!$C$3:$C$517,"Géopolymères, ciment &amp; matériaux de construction",'📋 Inventaire Complet'!$D$3:$D$517,"&lt;&gt;",'📋 Inventaire Complet'!$L$3:$L$517,"*Maintenu*")</f>
        <v>0</v>
      </c>
      <c r="F30" s="148">
        <f>COUNTIFS('📋 Inventaire Complet'!$B$3:$B$517,"*Circular Chemistry &amp; Waste Valorization*",'📋 Inventaire Complet'!$C$3:$C$517,"Géopolymères, ciment &amp; matériaux de construction",'📋 Inventaire Complet'!$D$3:$D$517,"&lt;&gt;",'📋 Inventaire Complet'!$L$3:$L$517,"*PCT*")</f>
        <v>0</v>
      </c>
      <c r="G30" s="149">
        <f>COUNTIFS('📋 Inventaire Complet'!$B$3:$B$517,"*Circular Chemistry &amp; Waste Valorization*",'📋 Inventaire Complet'!$C$3:$C$517,"Géopolymères, ciment &amp; matériaux de construction",'📋 Inventaire Complet'!$D$3:$D$517,"&lt;&gt;",'📋 Inventaire Complet'!$L$3:$L$517,"*OMPIC*")+COUNTIFS('📋 Inventaire Complet'!$B$3:$B$517,"*Circular Chemistry &amp; Waste Valorization*",'📋 Inventaire Complet'!$C$3:$C$517,"Géopolymères, ciment &amp; matériaux de construction",'📋 Inventaire Complet'!$D$3:$D$517,"&lt;&gt;",'📋 Inventaire Complet'!$L$3:$L$517,"*En examen*")</f>
        <v>3</v>
      </c>
      <c r="H30" s="150">
        <f>COUNTIFS('📋 Inventaire Complet'!$B$3:$B$517,"*Circular Chemistry &amp; Waste Valorization*",'📋 Inventaire Complet'!$C$3:$C$517,"Géopolymères, ciment &amp; matériaux de construction",'📋 Inventaire Complet'!$D$3:$D$517,"&lt;&gt;",'📋 Inventaire Complet'!$L$3:$L$517,"*Abandonné*")+COUNTIFS('📋 Inventaire Complet'!$B$3:$B$517,"*Circular Chemistry &amp; Waste Valorization*",'📋 Inventaire Complet'!$C$3:$C$517,"Géopolymères, ciment &amp; matériaux de construction",'📋 Inventaire Complet'!$D$3:$D$517,"&lt;&gt;",'📋 Inventaire Complet'!$L$3:$L$517,"*Rejeté*")</f>
        <v>0</v>
      </c>
      <c r="I30" s="3" t="s">
        <v>874</v>
      </c>
    </row>
    <row r="31" spans="1:9" ht="35" x14ac:dyDescent="0.35">
      <c r="A31" s="276"/>
      <c r="B31" s="11" t="s">
        <v>2107</v>
      </c>
      <c r="C31" s="145">
        <f>COUNTIFS('📋 Inventaire Complet'!$B$3:$B$517,"*Circular Chemistry &amp; Waste Valorization*",'📋 Inventaire Complet'!$C$3:$C$517,"Produits chimiques issus de co-produits phosphatés",'📋 Inventaire Complet'!$D$3:$D$517,"&lt;&gt;")</f>
        <v>2</v>
      </c>
      <c r="D31" s="146">
        <f>COUNTIFS('📋 Inventaire Complet'!$B$3:$B$517,"*Circular Chemistry &amp; Waste Valorization*",'📋 Inventaire Complet'!$C$3:$C$517,"Produits chimiques issus de co-produits phosphatés",'📋 Inventaire Complet'!$D$3:$D$517,"&lt;&gt;",'📋 Inventaire Complet'!$L$3:$L$517,"*Délivré*")</f>
        <v>0</v>
      </c>
      <c r="E31" s="147">
        <f>COUNTIFS('📋 Inventaire Complet'!$B$3:$B$517,"*Circular Chemistry &amp; Waste Valorization*",'📋 Inventaire Complet'!$C$3:$C$517,"Produits chimiques issus de co-produits phosphatés",'📋 Inventaire Complet'!$D$3:$D$517,"&lt;&gt;",'📋 Inventaire Complet'!$L$3:$L$517,"*Maintenu*")</f>
        <v>0</v>
      </c>
      <c r="F31" s="148">
        <f>COUNTIFS('📋 Inventaire Complet'!$B$3:$B$517,"*Circular Chemistry &amp; Waste Valorization*",'📋 Inventaire Complet'!$C$3:$C$517,"Produits chimiques issus de co-produits phosphatés",'📋 Inventaire Complet'!$D$3:$D$517,"&lt;&gt;",'📋 Inventaire Complet'!$L$3:$L$517,"*PCT*")</f>
        <v>1</v>
      </c>
      <c r="G31" s="149">
        <f>COUNTIFS('📋 Inventaire Complet'!$B$3:$B$517,"*Circular Chemistry &amp; Waste Valorization*",'📋 Inventaire Complet'!$C$3:$C$517,"Produits chimiques issus de co-produits phosphatés",'📋 Inventaire Complet'!$D$3:$D$517,"&lt;&gt;",'📋 Inventaire Complet'!$L$3:$L$517,"*OMPIC*")+COUNTIFS('📋 Inventaire Complet'!$B$3:$B$517,"*Circular Chemistry &amp; Waste Valorization*",'📋 Inventaire Complet'!$C$3:$C$517,"Produits chimiques issus de co-produits phosphatés",'📋 Inventaire Complet'!$D$3:$D$517,"&lt;&gt;",'📋 Inventaire Complet'!$L$3:$L$517,"*En examen*")</f>
        <v>0</v>
      </c>
      <c r="H31" s="150">
        <f>COUNTIFS('📋 Inventaire Complet'!$B$3:$B$517,"*Circular Chemistry &amp; Waste Valorization*",'📋 Inventaire Complet'!$C$3:$C$517,"Produits chimiques issus de co-produits phosphatés",'📋 Inventaire Complet'!$D$3:$D$517,"&lt;&gt;",'📋 Inventaire Complet'!$L$3:$L$517,"*Abandonné*")+COUNTIFS('📋 Inventaire Complet'!$B$3:$B$517,"*Circular Chemistry &amp; Waste Valorization*",'📋 Inventaire Complet'!$C$3:$C$517,"Produits chimiques issus de co-produits phosphatés",'📋 Inventaire Complet'!$D$3:$D$517,"&lt;&gt;",'📋 Inventaire Complet'!$L$3:$L$517,"*Rejeté*")</f>
        <v>1</v>
      </c>
      <c r="I31" s="3" t="s">
        <v>2251</v>
      </c>
    </row>
    <row r="32" spans="1:9" ht="35" x14ac:dyDescent="0.35">
      <c r="A32" s="276"/>
      <c r="B32" s="11" t="s">
        <v>2110</v>
      </c>
      <c r="C32" s="145">
        <f>COUNTIFS('📋 Inventaire Complet'!$B$3:$B$517,"*Circular Chemistry &amp; Waste Valorization*",'📋 Inventaire Complet'!$C$3:$C$517,"Récupération de métaux, terres rares &amp; co-produits",'📋 Inventaire Complet'!$D$3:$D$517,"&lt;&gt;")</f>
        <v>1</v>
      </c>
      <c r="D32" s="146">
        <f>COUNTIFS('📋 Inventaire Complet'!$B$3:$B$517,"*Circular Chemistry &amp; Waste Valorization*",'📋 Inventaire Complet'!$C$3:$C$517,"Récupération de métaux, terres rares &amp; co-produits",'📋 Inventaire Complet'!$D$3:$D$517,"&lt;&gt;",'📋 Inventaire Complet'!$L$3:$L$517,"*Délivré*")</f>
        <v>0</v>
      </c>
      <c r="E32" s="147">
        <f>COUNTIFS('📋 Inventaire Complet'!$B$3:$B$517,"*Circular Chemistry &amp; Waste Valorization*",'📋 Inventaire Complet'!$C$3:$C$517,"Récupération de métaux, terres rares &amp; co-produits",'📋 Inventaire Complet'!$D$3:$D$517,"&lt;&gt;",'📋 Inventaire Complet'!$L$3:$L$517,"*Maintenu*")</f>
        <v>0</v>
      </c>
      <c r="F32" s="148">
        <f>COUNTIFS('📋 Inventaire Complet'!$B$3:$B$517,"*Circular Chemistry &amp; Waste Valorization*",'📋 Inventaire Complet'!$C$3:$C$517,"Récupération de métaux, terres rares &amp; co-produits",'📋 Inventaire Complet'!$D$3:$D$517,"&lt;&gt;",'📋 Inventaire Complet'!$L$3:$L$517,"*PCT*")</f>
        <v>0</v>
      </c>
      <c r="G32" s="149">
        <f>COUNTIFS('📋 Inventaire Complet'!$B$3:$B$517,"*Circular Chemistry &amp; Waste Valorization*",'📋 Inventaire Complet'!$C$3:$C$517,"Récupération de métaux, terres rares &amp; co-produits",'📋 Inventaire Complet'!$D$3:$D$517,"&lt;&gt;",'📋 Inventaire Complet'!$L$3:$L$517,"*OMPIC*")+COUNTIFS('📋 Inventaire Complet'!$B$3:$B$517,"*Circular Chemistry &amp; Waste Valorization*",'📋 Inventaire Complet'!$C$3:$C$517,"Récupération de métaux, terres rares &amp; co-produits",'📋 Inventaire Complet'!$D$3:$D$517,"&lt;&gt;",'📋 Inventaire Complet'!$L$3:$L$517,"*En examen*")</f>
        <v>1</v>
      </c>
      <c r="H32" s="150">
        <f>COUNTIFS('📋 Inventaire Complet'!$B$3:$B$517,"*Circular Chemistry &amp; Waste Valorization*",'📋 Inventaire Complet'!$C$3:$C$517,"Récupération de métaux, terres rares &amp; co-produits",'📋 Inventaire Complet'!$D$3:$D$517,"&lt;&gt;",'📋 Inventaire Complet'!$L$3:$L$517,"*Abandonné*")+COUNTIFS('📋 Inventaire Complet'!$B$3:$B$517,"*Circular Chemistry &amp; Waste Valorization*",'📋 Inventaire Complet'!$C$3:$C$517,"Récupération de métaux, terres rares &amp; co-produits",'📋 Inventaire Complet'!$D$3:$D$517,"&lt;&gt;",'📋 Inventaire Complet'!$L$3:$L$517,"*Rejeté*")</f>
        <v>0</v>
      </c>
      <c r="I32" s="3" t="s">
        <v>874</v>
      </c>
    </row>
    <row r="33" spans="1:9" ht="36.5" thickBot="1" x14ac:dyDescent="0.4">
      <c r="A33" s="277"/>
      <c r="B33" s="12" t="s">
        <v>2112</v>
      </c>
      <c r="C33" s="151">
        <f>COUNTIFS('📋 Inventaire Complet'!$B$3:$B$517,"*Circular Chemistry &amp; Waste Valorization*",'📋 Inventaire Complet'!$C$3:$C$517,"Valorisation du phosphogypse",'📋 Inventaire Complet'!$D$3:$D$517,"&lt;&gt;")</f>
        <v>18</v>
      </c>
      <c r="D33" s="152">
        <f>COUNTIFS('📋 Inventaire Complet'!$B$3:$B$517,"*Circular Chemistry &amp; Waste Valorization*",'📋 Inventaire Complet'!$C$3:$C$517,"Valorisation du phosphogypse",'📋 Inventaire Complet'!$D$3:$D$517,"&lt;&gt;",'📋 Inventaire Complet'!$L$3:$L$517,"*Délivré*")</f>
        <v>3</v>
      </c>
      <c r="E33" s="153">
        <f>COUNTIFS('📋 Inventaire Complet'!$B$3:$B$517,"*Circular Chemistry &amp; Waste Valorization*",'📋 Inventaire Complet'!$C$3:$C$517,"Valorisation du phosphogypse",'📋 Inventaire Complet'!$D$3:$D$517,"&lt;&gt;",'📋 Inventaire Complet'!$L$3:$L$517,"*Maintenu*")</f>
        <v>2</v>
      </c>
      <c r="F33" s="154">
        <f>COUNTIFS('📋 Inventaire Complet'!$B$3:$B$517,"*Circular Chemistry &amp; Waste Valorization*",'📋 Inventaire Complet'!$C$3:$C$517,"Valorisation du phosphogypse",'📋 Inventaire Complet'!$D$3:$D$517,"&lt;&gt;",'📋 Inventaire Complet'!$L$3:$L$517,"*PCT*")</f>
        <v>3</v>
      </c>
      <c r="G33" s="155">
        <f>COUNTIFS('📋 Inventaire Complet'!$B$3:$B$517,"*Circular Chemistry &amp; Waste Valorization*",'📋 Inventaire Complet'!$C$3:$C$517,"Valorisation du phosphogypse",'📋 Inventaire Complet'!$D$3:$D$517,"&lt;&gt;",'📋 Inventaire Complet'!$L$3:$L$517,"*OMPIC*")+COUNTIFS('📋 Inventaire Complet'!$B$3:$B$517,"*Circular Chemistry &amp; Waste Valorization*",'📋 Inventaire Complet'!$C$3:$C$517,"Valorisation du phosphogypse",'📋 Inventaire Complet'!$D$3:$D$517,"&lt;&gt;",'📋 Inventaire Complet'!$L$3:$L$517,"*En examen*")</f>
        <v>7</v>
      </c>
      <c r="H33" s="156">
        <f>COUNTIFS('📋 Inventaire Complet'!$B$3:$B$517,"*Circular Chemistry &amp; Waste Valorization*",'📋 Inventaire Complet'!$C$3:$C$517,"Valorisation du phosphogypse",'📋 Inventaire Complet'!$D$3:$D$517,"&lt;&gt;",'📋 Inventaire Complet'!$L$3:$L$517,"*Abandonné*")+COUNTIFS('📋 Inventaire Complet'!$B$3:$B$517,"*Circular Chemistry &amp; Waste Valorization*",'📋 Inventaire Complet'!$C$3:$C$517,"Valorisation du phosphogypse",'📋 Inventaire Complet'!$D$3:$D$517,"&lt;&gt;",'📋 Inventaire Complet'!$L$3:$L$517,"*Rejeté*")</f>
        <v>1</v>
      </c>
      <c r="I33" s="5" t="s">
        <v>2252</v>
      </c>
    </row>
    <row r="34" spans="1:9" ht="35" x14ac:dyDescent="0.35">
      <c r="A34" s="278" t="s">
        <v>1451</v>
      </c>
      <c r="B34" s="159" t="s">
        <v>2253</v>
      </c>
      <c r="C34" s="131">
        <f>COUNTIFS('📋 Inventaire Complet'!$B$3:$B$517,"*Green Agriculture &amp; Biotechnology*",'📋 Inventaire Complet'!$D$3:$D$517,"&lt;&gt;")</f>
        <v>51</v>
      </c>
      <c r="D34" s="132">
        <f>COUNTIFS('📋 Inventaire Complet'!$B$3:$B$517,"*Green Agriculture &amp; Biotechnology*",'📋 Inventaire Complet'!$D$3:$D$517,"&lt;&gt;",'📋 Inventaire Complet'!$L$3:$L$517,"*Délivré*")</f>
        <v>1</v>
      </c>
      <c r="E34" s="133">
        <f>COUNTIFS('📋 Inventaire Complet'!$B$3:$B$517,"*Green Agriculture &amp; Biotechnology*",'📋 Inventaire Complet'!$D$3:$D$517,"&lt;&gt;",'📋 Inventaire Complet'!$L$3:$L$517,"*Maintenu*")</f>
        <v>29</v>
      </c>
      <c r="F34" s="134">
        <f>COUNTIFS('📋 Inventaire Complet'!$B$3:$B$517,"*Green Agriculture &amp; Biotechnology*",'📋 Inventaire Complet'!$D$3:$D$517,"&lt;&gt;",'📋 Inventaire Complet'!$L$3:$L$517,"*PCT*")</f>
        <v>3</v>
      </c>
      <c r="G34" s="135">
        <f>COUNTIFS('📋 Inventaire Complet'!$B$3:$B$517,"*Green Agriculture &amp; Biotechnology*",'📋 Inventaire Complet'!$D$3:$D$517,"&lt;&gt;",'📋 Inventaire Complet'!$L$3:$L$517,"*OMPIC*")+COUNTIFS('📋 Inventaire Complet'!$B$3:$B$517,"*Green Agriculture &amp; Biotechnology*",'📋 Inventaire Complet'!$D$3:$D$517,"&lt;&gt;",'📋 Inventaire Complet'!$L$3:$L$517,"*En examen*")</f>
        <v>7</v>
      </c>
      <c r="H34" s="136">
        <f>COUNTIFS('📋 Inventaire Complet'!$B$3:$B$517,"*Green Agriculture &amp; Biotechnology*",'📋 Inventaire Complet'!$D$3:$D$517,"&lt;&gt;",'📋 Inventaire Complet'!$L$3:$L$517,"*Abandonné*")+COUNTIFS('📋 Inventaire Complet'!$B$3:$B$517,"*Green Agriculture &amp; Biotechnology*",'📋 Inventaire Complet'!$D$3:$D$517,"&lt;&gt;",'📋 Inventaire Complet'!$L$3:$L$517,"*Rejeté*")</f>
        <v>0</v>
      </c>
      <c r="I34" s="137" t="s">
        <v>2254</v>
      </c>
    </row>
    <row r="35" spans="1:9" x14ac:dyDescent="0.35">
      <c r="A35" s="279"/>
      <c r="B35" s="13" t="s">
        <v>2127</v>
      </c>
      <c r="C35" s="139">
        <f>COUNTIFS('📋 Inventaire Complet'!$B$3:$B$517,"*Green Agriculture &amp; Biotechnology*",'📋 Inventaire Complet'!$C$3:$C$517,"Biocontrôle, stress végétal &amp; hydroponie",'📋 Inventaire Complet'!$D$3:$D$517,"&lt;&gt;")</f>
        <v>2</v>
      </c>
      <c r="D35" s="140">
        <f>COUNTIFS('📋 Inventaire Complet'!$B$3:$B$517,"*Green Agriculture &amp; Biotechnology*",'📋 Inventaire Complet'!$C$3:$C$517,"Biocontrôle, stress végétal &amp; hydroponie",'📋 Inventaire Complet'!$D$3:$D$517,"&lt;&gt;",'📋 Inventaire Complet'!$L$3:$L$517,"*Délivré*")</f>
        <v>0</v>
      </c>
      <c r="E35" s="141">
        <f>COUNTIFS('📋 Inventaire Complet'!$B$3:$B$517,"*Green Agriculture &amp; Biotechnology*",'📋 Inventaire Complet'!$C$3:$C$517,"Biocontrôle, stress végétal &amp; hydroponie",'📋 Inventaire Complet'!$D$3:$D$517,"&lt;&gt;",'📋 Inventaire Complet'!$L$3:$L$517,"*Maintenu*")</f>
        <v>1</v>
      </c>
      <c r="F35" s="142">
        <f>COUNTIFS('📋 Inventaire Complet'!$B$3:$B$517,"*Green Agriculture &amp; Biotechnology*",'📋 Inventaire Complet'!$C$3:$C$517,"Biocontrôle, stress végétal &amp; hydroponie",'📋 Inventaire Complet'!$D$3:$D$517,"&lt;&gt;",'📋 Inventaire Complet'!$L$3:$L$517,"*PCT*")</f>
        <v>0</v>
      </c>
      <c r="G35" s="143">
        <f>COUNTIFS('📋 Inventaire Complet'!$B$3:$B$517,"*Green Agriculture &amp; Biotechnology*",'📋 Inventaire Complet'!$C$3:$C$517,"Biocontrôle, stress végétal &amp; hydroponie",'📋 Inventaire Complet'!$D$3:$D$517,"&lt;&gt;",'📋 Inventaire Complet'!$L$3:$L$517,"*OMPIC*")+COUNTIFS('📋 Inventaire Complet'!$B$3:$B$517,"*Green Agriculture &amp; Biotechnology*",'📋 Inventaire Complet'!$C$3:$C$517,"Biocontrôle, stress végétal &amp; hydroponie",'📋 Inventaire Complet'!$D$3:$D$517,"&lt;&gt;",'📋 Inventaire Complet'!$L$3:$L$517,"*En examen*")</f>
        <v>0</v>
      </c>
      <c r="H35" s="144">
        <f>COUNTIFS('📋 Inventaire Complet'!$B$3:$B$517,"*Green Agriculture &amp; Biotechnology*",'📋 Inventaire Complet'!$C$3:$C$517,"Biocontrôle, stress végétal &amp; hydroponie",'📋 Inventaire Complet'!$D$3:$D$517,"&lt;&gt;",'📋 Inventaire Complet'!$L$3:$L$517,"*Abandonné*")+COUNTIFS('📋 Inventaire Complet'!$B$3:$B$517,"*Green Agriculture &amp; Biotechnology*",'📋 Inventaire Complet'!$C$3:$C$517,"Biocontrôle, stress végétal &amp; hydroponie",'📋 Inventaire Complet'!$D$3:$D$517,"&lt;&gt;",'📋 Inventaire Complet'!$L$3:$L$517,"*Rejeté*")</f>
        <v>0</v>
      </c>
      <c r="I35" s="7" t="s">
        <v>21</v>
      </c>
    </row>
    <row r="36" spans="1:9" ht="35" x14ac:dyDescent="0.35">
      <c r="A36" s="279"/>
      <c r="B36" s="14" t="s">
        <v>2130</v>
      </c>
      <c r="C36" s="145">
        <f>COUNTIFS('📋 Inventaire Complet'!$B$3:$B$517,"*Green Agriculture &amp; Biotechnology*",'📋 Inventaire Complet'!$C$3:$C$517,"Biofertilisants, biostimulants &amp; enrobage d’engrais",'📋 Inventaire Complet'!$D$3:$D$517,"&lt;&gt;")</f>
        <v>10</v>
      </c>
      <c r="D36" s="146">
        <f>COUNTIFS('📋 Inventaire Complet'!$B$3:$B$517,"*Green Agriculture &amp; Biotechnology*",'📋 Inventaire Complet'!$C$3:$C$517,"Biofertilisants, biostimulants &amp; enrobage d’engrais",'📋 Inventaire Complet'!$D$3:$D$517,"&lt;&gt;",'📋 Inventaire Complet'!$L$3:$L$517,"*Délivré*")</f>
        <v>1</v>
      </c>
      <c r="E36" s="147">
        <f>COUNTIFS('📋 Inventaire Complet'!$B$3:$B$517,"*Green Agriculture &amp; Biotechnology*",'📋 Inventaire Complet'!$C$3:$C$517,"Biofertilisants, biostimulants &amp; enrobage d’engrais",'📋 Inventaire Complet'!$D$3:$D$517,"&lt;&gt;",'📋 Inventaire Complet'!$L$3:$L$517,"*Maintenu*")</f>
        <v>4</v>
      </c>
      <c r="F36" s="148">
        <f>COUNTIFS('📋 Inventaire Complet'!$B$3:$B$517,"*Green Agriculture &amp; Biotechnology*",'📋 Inventaire Complet'!$C$3:$C$517,"Biofertilisants, biostimulants &amp; enrobage d’engrais",'📋 Inventaire Complet'!$D$3:$D$517,"&lt;&gt;",'📋 Inventaire Complet'!$L$3:$L$517,"*PCT*")</f>
        <v>2</v>
      </c>
      <c r="G36" s="149">
        <f>COUNTIFS('📋 Inventaire Complet'!$B$3:$B$517,"*Green Agriculture &amp; Biotechnology*",'📋 Inventaire Complet'!$C$3:$C$517,"Biofertilisants, biostimulants &amp; enrobage d’engrais",'📋 Inventaire Complet'!$D$3:$D$517,"&lt;&gt;",'📋 Inventaire Complet'!$L$3:$L$517,"*OMPIC*")+COUNTIFS('📋 Inventaire Complet'!$B$3:$B$517,"*Green Agriculture &amp; Biotechnology*",'📋 Inventaire Complet'!$C$3:$C$517,"Biofertilisants, biostimulants &amp; enrobage d’engrais",'📋 Inventaire Complet'!$D$3:$D$517,"&lt;&gt;",'📋 Inventaire Complet'!$L$3:$L$517,"*En examen*")</f>
        <v>1</v>
      </c>
      <c r="H36" s="150">
        <f>COUNTIFS('📋 Inventaire Complet'!$B$3:$B$517,"*Green Agriculture &amp; Biotechnology*",'📋 Inventaire Complet'!$C$3:$C$517,"Biofertilisants, biostimulants &amp; enrobage d’engrais",'📋 Inventaire Complet'!$D$3:$D$517,"&lt;&gt;",'📋 Inventaire Complet'!$L$3:$L$517,"*Abandonné*")+COUNTIFS('📋 Inventaire Complet'!$B$3:$B$517,"*Green Agriculture &amp; Biotechnology*",'📋 Inventaire Complet'!$C$3:$C$517,"Biofertilisants, biostimulants &amp; enrobage d’engrais",'📋 Inventaire Complet'!$D$3:$D$517,"&lt;&gt;",'📋 Inventaire Complet'!$L$3:$L$517,"*Rejeté*")</f>
        <v>0</v>
      </c>
      <c r="I36" s="3" t="s">
        <v>2255</v>
      </c>
    </row>
    <row r="37" spans="1:9" x14ac:dyDescent="0.35">
      <c r="A37" s="279"/>
      <c r="B37" s="14" t="s">
        <v>2140</v>
      </c>
      <c r="C37" s="145">
        <f>COUNTIFS('📋 Inventaire Complet'!$B$3:$B$517,"*Green Agriculture &amp; Biotechnology*",'📋 Inventaire Complet'!$C$3:$C$517,"Capteurs, électronique &amp; systèmes intelligents",'📋 Inventaire Complet'!$D$3:$D$517,"&lt;&gt;")</f>
        <v>5</v>
      </c>
      <c r="D37" s="146">
        <f>COUNTIFS('📋 Inventaire Complet'!$B$3:$B$517,"*Green Agriculture &amp; Biotechnology*",'📋 Inventaire Complet'!$C$3:$C$517,"Capteurs, électronique &amp; systèmes intelligents",'📋 Inventaire Complet'!$D$3:$D$517,"&lt;&gt;",'📋 Inventaire Complet'!$L$3:$L$517,"*Délivré*")</f>
        <v>0</v>
      </c>
      <c r="E37" s="147">
        <f>COUNTIFS('📋 Inventaire Complet'!$B$3:$B$517,"*Green Agriculture &amp; Biotechnology*",'📋 Inventaire Complet'!$C$3:$C$517,"Capteurs, électronique &amp; systèmes intelligents",'📋 Inventaire Complet'!$D$3:$D$517,"&lt;&gt;",'📋 Inventaire Complet'!$L$3:$L$517,"*Maintenu*")</f>
        <v>0</v>
      </c>
      <c r="F37" s="148">
        <f>COUNTIFS('📋 Inventaire Complet'!$B$3:$B$517,"*Green Agriculture &amp; Biotechnology*",'📋 Inventaire Complet'!$C$3:$C$517,"Capteurs, électronique &amp; systèmes intelligents",'📋 Inventaire Complet'!$D$3:$D$517,"&lt;&gt;",'📋 Inventaire Complet'!$L$3:$L$517,"*PCT*")</f>
        <v>0</v>
      </c>
      <c r="G37" s="149">
        <f>COUNTIFS('📋 Inventaire Complet'!$B$3:$B$517,"*Green Agriculture &amp; Biotechnology*",'📋 Inventaire Complet'!$C$3:$C$517,"Capteurs, électronique &amp; systèmes intelligents",'📋 Inventaire Complet'!$D$3:$D$517,"&lt;&gt;",'📋 Inventaire Complet'!$L$3:$L$517,"*OMPIC*")+COUNTIFS('📋 Inventaire Complet'!$B$3:$B$517,"*Green Agriculture &amp; Biotechnology*",'📋 Inventaire Complet'!$C$3:$C$517,"Capteurs, électronique &amp; systèmes intelligents",'📋 Inventaire Complet'!$D$3:$D$517,"&lt;&gt;",'📋 Inventaire Complet'!$L$3:$L$517,"*En examen*")</f>
        <v>2</v>
      </c>
      <c r="H37" s="150">
        <f>COUNTIFS('📋 Inventaire Complet'!$B$3:$B$517,"*Green Agriculture &amp; Biotechnology*",'📋 Inventaire Complet'!$C$3:$C$517,"Capteurs, électronique &amp; systèmes intelligents",'📋 Inventaire Complet'!$D$3:$D$517,"&lt;&gt;",'📋 Inventaire Complet'!$L$3:$L$517,"*Abandonné*")+COUNTIFS('📋 Inventaire Complet'!$B$3:$B$517,"*Green Agriculture &amp; Biotechnology*",'📋 Inventaire Complet'!$C$3:$C$517,"Capteurs, électronique &amp; systèmes intelligents",'📋 Inventaire Complet'!$D$3:$D$517,"&lt;&gt;",'📋 Inventaire Complet'!$L$3:$L$517,"*Rejeté*")</f>
        <v>0</v>
      </c>
      <c r="I37" s="3" t="s">
        <v>2256</v>
      </c>
    </row>
    <row r="38" spans="1:9" x14ac:dyDescent="0.35">
      <c r="A38" s="279"/>
      <c r="B38" s="14" t="s">
        <v>2146</v>
      </c>
      <c r="C38" s="145">
        <f>COUNTIFS('📋 Inventaire Complet'!$B$3:$B$517,"*Green Agriculture &amp; Biotechnology*",'📋 Inventaire Complet'!$C$3:$C$517,"Diagnostic moléculaire &amp; kits qPCR/LAMP",'📋 Inventaire Complet'!$D$3:$D$517,"&lt;&gt;")</f>
        <v>17</v>
      </c>
      <c r="D38" s="146">
        <f>COUNTIFS('📋 Inventaire Complet'!$B$3:$B$517,"*Green Agriculture &amp; Biotechnology*",'📋 Inventaire Complet'!$C$3:$C$517,"Diagnostic moléculaire &amp; kits qPCR/LAMP",'📋 Inventaire Complet'!$D$3:$D$517,"&lt;&gt;",'📋 Inventaire Complet'!$L$3:$L$517,"*Délivré*")</f>
        <v>0</v>
      </c>
      <c r="E38" s="147">
        <f>COUNTIFS('📋 Inventaire Complet'!$B$3:$B$517,"*Green Agriculture &amp; Biotechnology*",'📋 Inventaire Complet'!$C$3:$C$517,"Diagnostic moléculaire &amp; kits qPCR/LAMP",'📋 Inventaire Complet'!$D$3:$D$517,"&lt;&gt;",'📋 Inventaire Complet'!$L$3:$L$517,"*Maintenu*")</f>
        <v>14</v>
      </c>
      <c r="F38" s="148">
        <f>COUNTIFS('📋 Inventaire Complet'!$B$3:$B$517,"*Green Agriculture &amp; Biotechnology*",'📋 Inventaire Complet'!$C$3:$C$517,"Diagnostic moléculaire &amp; kits qPCR/LAMP",'📋 Inventaire Complet'!$D$3:$D$517,"&lt;&gt;",'📋 Inventaire Complet'!$L$3:$L$517,"*PCT*")</f>
        <v>0</v>
      </c>
      <c r="G38" s="149">
        <f>COUNTIFS('📋 Inventaire Complet'!$B$3:$B$517,"*Green Agriculture &amp; Biotechnology*",'📋 Inventaire Complet'!$C$3:$C$517,"Diagnostic moléculaire &amp; kits qPCR/LAMP",'📋 Inventaire Complet'!$D$3:$D$517,"&lt;&gt;",'📋 Inventaire Complet'!$L$3:$L$517,"*OMPIC*")+COUNTIFS('📋 Inventaire Complet'!$B$3:$B$517,"*Green Agriculture &amp; Biotechnology*",'📋 Inventaire Complet'!$C$3:$C$517,"Diagnostic moléculaire &amp; kits qPCR/LAMP",'📋 Inventaire Complet'!$D$3:$D$517,"&lt;&gt;",'📋 Inventaire Complet'!$L$3:$L$517,"*En examen*")</f>
        <v>1</v>
      </c>
      <c r="H38" s="150">
        <f>COUNTIFS('📋 Inventaire Complet'!$B$3:$B$517,"*Green Agriculture &amp; Biotechnology*",'📋 Inventaire Complet'!$C$3:$C$517,"Diagnostic moléculaire &amp; kits qPCR/LAMP",'📋 Inventaire Complet'!$D$3:$D$517,"&lt;&gt;",'📋 Inventaire Complet'!$L$3:$L$517,"*Abandonné*")+COUNTIFS('📋 Inventaire Complet'!$B$3:$B$517,"*Green Agriculture &amp; Biotechnology*",'📋 Inventaire Complet'!$C$3:$C$517,"Diagnostic moléculaire &amp; kits qPCR/LAMP",'📋 Inventaire Complet'!$D$3:$D$517,"&lt;&gt;",'📋 Inventaire Complet'!$L$3:$L$517,"*Rejeté*")</f>
        <v>0</v>
      </c>
      <c r="I38" s="3" t="s">
        <v>2257</v>
      </c>
    </row>
    <row r="39" spans="1:9" ht="35" x14ac:dyDescent="0.35">
      <c r="A39" s="279"/>
      <c r="B39" s="14" t="s">
        <v>2169</v>
      </c>
      <c r="C39" s="145">
        <f>COUNTIFS('📋 Inventaire Complet'!$B$3:$B$517,"*Green Agriculture &amp; Biotechnology*",'📋 Inventaire Complet'!$C$3:$C$517,"Matériaux bioactifs &amp; emballages antibactériens",'📋 Inventaire Complet'!$D$3:$D$517,"&lt;&gt;")</f>
        <v>1</v>
      </c>
      <c r="D39" s="146">
        <f>COUNTIFS('📋 Inventaire Complet'!$B$3:$B$517,"*Green Agriculture &amp; Biotechnology*",'📋 Inventaire Complet'!$C$3:$C$517,"Matériaux bioactifs &amp; emballages antibactériens",'📋 Inventaire Complet'!$D$3:$D$517,"&lt;&gt;",'📋 Inventaire Complet'!$L$3:$L$517,"*Délivré*")</f>
        <v>0</v>
      </c>
      <c r="E39" s="147">
        <f>COUNTIFS('📋 Inventaire Complet'!$B$3:$B$517,"*Green Agriculture &amp; Biotechnology*",'📋 Inventaire Complet'!$C$3:$C$517,"Matériaux bioactifs &amp; emballages antibactériens",'📋 Inventaire Complet'!$D$3:$D$517,"&lt;&gt;",'📋 Inventaire Complet'!$L$3:$L$517,"*Maintenu*")</f>
        <v>1</v>
      </c>
      <c r="F39" s="148">
        <f>COUNTIFS('📋 Inventaire Complet'!$B$3:$B$517,"*Green Agriculture &amp; Biotechnology*",'📋 Inventaire Complet'!$C$3:$C$517,"Matériaux bioactifs &amp; emballages antibactériens",'📋 Inventaire Complet'!$D$3:$D$517,"&lt;&gt;",'📋 Inventaire Complet'!$L$3:$L$517,"*PCT*")</f>
        <v>0</v>
      </c>
      <c r="G39" s="149">
        <f>COUNTIFS('📋 Inventaire Complet'!$B$3:$B$517,"*Green Agriculture &amp; Biotechnology*",'📋 Inventaire Complet'!$C$3:$C$517,"Matériaux bioactifs &amp; emballages antibactériens",'📋 Inventaire Complet'!$D$3:$D$517,"&lt;&gt;",'📋 Inventaire Complet'!$L$3:$L$517,"*OMPIC*")+COUNTIFS('📋 Inventaire Complet'!$B$3:$B$517,"*Green Agriculture &amp; Biotechnology*",'📋 Inventaire Complet'!$C$3:$C$517,"Matériaux bioactifs &amp; emballages antibactériens",'📋 Inventaire Complet'!$D$3:$D$517,"&lt;&gt;",'📋 Inventaire Complet'!$L$3:$L$517,"*En examen*")</f>
        <v>0</v>
      </c>
      <c r="H39" s="150">
        <f>COUNTIFS('📋 Inventaire Complet'!$B$3:$B$517,"*Green Agriculture &amp; Biotechnology*",'📋 Inventaire Complet'!$C$3:$C$517,"Matériaux bioactifs &amp; emballages antibactériens",'📋 Inventaire Complet'!$D$3:$D$517,"&lt;&gt;",'📋 Inventaire Complet'!$L$3:$L$517,"*Abandonné*")+COUNTIFS('📋 Inventaire Complet'!$B$3:$B$517,"*Green Agriculture &amp; Biotechnology*",'📋 Inventaire Complet'!$C$3:$C$517,"Matériaux bioactifs &amp; emballages antibactériens",'📋 Inventaire Complet'!$D$3:$D$517,"&lt;&gt;",'📋 Inventaire Complet'!$L$3:$L$517,"*Rejeté*")</f>
        <v>0</v>
      </c>
      <c r="I39" s="3" t="s">
        <v>21</v>
      </c>
    </row>
    <row r="40" spans="1:9" ht="35" x14ac:dyDescent="0.35">
      <c r="A40" s="279"/>
      <c r="B40" s="14" t="s">
        <v>2171</v>
      </c>
      <c r="C40" s="145">
        <f>COUNTIFS('📋 Inventaire Complet'!$B$3:$B$517,"*Green Agriculture &amp; Biotechnology*",'📋 Inventaire Complet'!$C$3:$C$517,"Microalgues, macroalgues &amp; extraits végétaux bioactifs",'📋 Inventaire Complet'!$D$3:$D$517,"&lt;&gt;")</f>
        <v>12</v>
      </c>
      <c r="D40" s="146">
        <f>COUNTIFS('📋 Inventaire Complet'!$B$3:$B$517,"*Green Agriculture &amp; Biotechnology*",'📋 Inventaire Complet'!$C$3:$C$517,"Microalgues, macroalgues &amp; extraits végétaux bioactifs",'📋 Inventaire Complet'!$D$3:$D$517,"&lt;&gt;",'📋 Inventaire Complet'!$L$3:$L$517,"*Délivré*")</f>
        <v>0</v>
      </c>
      <c r="E40" s="147">
        <f>COUNTIFS('📋 Inventaire Complet'!$B$3:$B$517,"*Green Agriculture &amp; Biotechnology*",'📋 Inventaire Complet'!$C$3:$C$517,"Microalgues, macroalgues &amp; extraits végétaux bioactifs",'📋 Inventaire Complet'!$D$3:$D$517,"&lt;&gt;",'📋 Inventaire Complet'!$L$3:$L$517,"*Maintenu*")</f>
        <v>8</v>
      </c>
      <c r="F40" s="148">
        <f>COUNTIFS('📋 Inventaire Complet'!$B$3:$B$517,"*Green Agriculture &amp; Biotechnology*",'📋 Inventaire Complet'!$C$3:$C$517,"Microalgues, macroalgues &amp; extraits végétaux bioactifs",'📋 Inventaire Complet'!$D$3:$D$517,"&lt;&gt;",'📋 Inventaire Complet'!$L$3:$L$517,"*PCT*")</f>
        <v>1</v>
      </c>
      <c r="G40" s="149">
        <f>COUNTIFS('📋 Inventaire Complet'!$B$3:$B$517,"*Green Agriculture &amp; Biotechnology*",'📋 Inventaire Complet'!$C$3:$C$517,"Microalgues, macroalgues &amp; extraits végétaux bioactifs",'📋 Inventaire Complet'!$D$3:$D$517,"&lt;&gt;",'📋 Inventaire Complet'!$L$3:$L$517,"*OMPIC*")+COUNTIFS('📋 Inventaire Complet'!$B$3:$B$517,"*Green Agriculture &amp; Biotechnology*",'📋 Inventaire Complet'!$C$3:$C$517,"Microalgues, macroalgues &amp; extraits végétaux bioactifs",'📋 Inventaire Complet'!$D$3:$D$517,"&lt;&gt;",'📋 Inventaire Complet'!$L$3:$L$517,"*En examen*")</f>
        <v>1</v>
      </c>
      <c r="H40" s="150">
        <f>COUNTIFS('📋 Inventaire Complet'!$B$3:$B$517,"*Green Agriculture &amp; Biotechnology*",'📋 Inventaire Complet'!$C$3:$C$517,"Microalgues, macroalgues &amp; extraits végétaux bioactifs",'📋 Inventaire Complet'!$D$3:$D$517,"&lt;&gt;",'📋 Inventaire Complet'!$L$3:$L$517,"*Abandonné*")+COUNTIFS('📋 Inventaire Complet'!$B$3:$B$517,"*Green Agriculture &amp; Biotechnology*",'📋 Inventaire Complet'!$C$3:$C$517,"Microalgues, macroalgues &amp; extraits végétaux bioactifs",'📋 Inventaire Complet'!$D$3:$D$517,"&lt;&gt;",'📋 Inventaire Complet'!$L$3:$L$517,"*Rejeté*")</f>
        <v>0</v>
      </c>
      <c r="I40" s="3" t="s">
        <v>2258</v>
      </c>
    </row>
    <row r="41" spans="1:9" x14ac:dyDescent="0.35">
      <c r="A41" s="279"/>
      <c r="B41" s="14" t="s">
        <v>2185</v>
      </c>
      <c r="C41" s="145">
        <f>COUNTIFS('📋 Inventaire Complet'!$B$3:$B$517,"*Green Agriculture &amp; Biotechnology*",'📋 Inventaire Complet'!$C$3:$C$517,"Oncologie &amp; molécules thérapeutiques",'📋 Inventaire Complet'!$D$3:$D$517,"&lt;&gt;")</f>
        <v>3</v>
      </c>
      <c r="D41" s="146">
        <f>COUNTIFS('📋 Inventaire Complet'!$B$3:$B$517,"*Green Agriculture &amp; Biotechnology*",'📋 Inventaire Complet'!$C$3:$C$517,"Oncologie &amp; molécules thérapeutiques",'📋 Inventaire Complet'!$D$3:$D$517,"&lt;&gt;",'📋 Inventaire Complet'!$L$3:$L$517,"*Délivré*")</f>
        <v>0</v>
      </c>
      <c r="E41" s="147">
        <f>COUNTIFS('📋 Inventaire Complet'!$B$3:$B$517,"*Green Agriculture &amp; Biotechnology*",'📋 Inventaire Complet'!$C$3:$C$517,"Oncologie &amp; molécules thérapeutiques",'📋 Inventaire Complet'!$D$3:$D$517,"&lt;&gt;",'📋 Inventaire Complet'!$L$3:$L$517,"*Maintenu*")</f>
        <v>1</v>
      </c>
      <c r="F41" s="148">
        <f>COUNTIFS('📋 Inventaire Complet'!$B$3:$B$517,"*Green Agriculture &amp; Biotechnology*",'📋 Inventaire Complet'!$C$3:$C$517,"Oncologie &amp; molécules thérapeutiques",'📋 Inventaire Complet'!$D$3:$D$517,"&lt;&gt;",'📋 Inventaire Complet'!$L$3:$L$517,"*PCT*")</f>
        <v>0</v>
      </c>
      <c r="G41" s="149">
        <f>COUNTIFS('📋 Inventaire Complet'!$B$3:$B$517,"*Green Agriculture &amp; Biotechnology*",'📋 Inventaire Complet'!$C$3:$C$517,"Oncologie &amp; molécules thérapeutiques",'📋 Inventaire Complet'!$D$3:$D$517,"&lt;&gt;",'📋 Inventaire Complet'!$L$3:$L$517,"*OMPIC*")+COUNTIFS('📋 Inventaire Complet'!$B$3:$B$517,"*Green Agriculture &amp; Biotechnology*",'📋 Inventaire Complet'!$C$3:$C$517,"Oncologie &amp; molécules thérapeutiques",'📋 Inventaire Complet'!$D$3:$D$517,"&lt;&gt;",'📋 Inventaire Complet'!$L$3:$L$517,"*En examen*")</f>
        <v>1</v>
      </c>
      <c r="H41" s="150">
        <f>COUNTIFS('📋 Inventaire Complet'!$B$3:$B$517,"*Green Agriculture &amp; Biotechnology*",'📋 Inventaire Complet'!$C$3:$C$517,"Oncologie &amp; molécules thérapeutiques",'📋 Inventaire Complet'!$D$3:$D$517,"&lt;&gt;",'📋 Inventaire Complet'!$L$3:$L$517,"*Abandonné*")+COUNTIFS('📋 Inventaire Complet'!$B$3:$B$517,"*Green Agriculture &amp; Biotechnology*",'📋 Inventaire Complet'!$C$3:$C$517,"Oncologie &amp; molécules thérapeutiques",'📋 Inventaire Complet'!$D$3:$D$517,"&lt;&gt;",'📋 Inventaire Complet'!$L$3:$L$517,"*Rejeté*")</f>
        <v>0</v>
      </c>
      <c r="I41" s="3" t="s">
        <v>1722</v>
      </c>
    </row>
    <row r="42" spans="1:9" ht="35.5" thickBot="1" x14ac:dyDescent="0.4">
      <c r="A42" s="280"/>
      <c r="B42" s="15" t="s">
        <v>2189</v>
      </c>
      <c r="C42" s="151">
        <f>COUNTIFS('📋 Inventaire Complet'!$B$3:$B$517,"*Green Agriculture &amp; Biotechnology*",'📋 Inventaire Complet'!$C$3:$C$517,"Santé animale/alimentaire &amp; procédés agroalimentaires",'📋 Inventaire Complet'!$D$3:$D$517,"&lt;&gt;")</f>
        <v>1</v>
      </c>
      <c r="D42" s="152">
        <f>COUNTIFS('📋 Inventaire Complet'!$B$3:$B$517,"*Green Agriculture &amp; Biotechnology*",'📋 Inventaire Complet'!$C$3:$C$517,"Santé animale/alimentaire &amp; procédés agroalimentaires",'📋 Inventaire Complet'!$D$3:$D$517,"&lt;&gt;",'📋 Inventaire Complet'!$L$3:$L$517,"*Délivré*")</f>
        <v>0</v>
      </c>
      <c r="E42" s="153">
        <f>COUNTIFS('📋 Inventaire Complet'!$B$3:$B$517,"*Green Agriculture &amp; Biotechnology*",'📋 Inventaire Complet'!$C$3:$C$517,"Santé animale/alimentaire &amp; procédés agroalimentaires",'📋 Inventaire Complet'!$D$3:$D$517,"&lt;&gt;",'📋 Inventaire Complet'!$L$3:$L$517,"*Maintenu*")</f>
        <v>0</v>
      </c>
      <c r="F42" s="154">
        <f>COUNTIFS('📋 Inventaire Complet'!$B$3:$B$517,"*Green Agriculture &amp; Biotechnology*",'📋 Inventaire Complet'!$C$3:$C$517,"Santé animale/alimentaire &amp; procédés agroalimentaires",'📋 Inventaire Complet'!$D$3:$D$517,"&lt;&gt;",'📋 Inventaire Complet'!$L$3:$L$517,"*PCT*")</f>
        <v>0</v>
      </c>
      <c r="G42" s="155">
        <f>COUNTIFS('📋 Inventaire Complet'!$B$3:$B$517,"*Green Agriculture &amp; Biotechnology*",'📋 Inventaire Complet'!$C$3:$C$517,"Santé animale/alimentaire &amp; procédés agroalimentaires",'📋 Inventaire Complet'!$D$3:$D$517,"&lt;&gt;",'📋 Inventaire Complet'!$L$3:$L$517,"*OMPIC*")+COUNTIFS('📋 Inventaire Complet'!$B$3:$B$517,"*Green Agriculture &amp; Biotechnology*",'📋 Inventaire Complet'!$C$3:$C$517,"Santé animale/alimentaire &amp; procédés agroalimentaires",'📋 Inventaire Complet'!$D$3:$D$517,"&lt;&gt;",'📋 Inventaire Complet'!$L$3:$L$517,"*En examen*")</f>
        <v>1</v>
      </c>
      <c r="H42" s="156">
        <f>COUNTIFS('📋 Inventaire Complet'!$B$3:$B$517,"*Green Agriculture &amp; Biotechnology*",'📋 Inventaire Complet'!$C$3:$C$517,"Santé animale/alimentaire &amp; procédés agroalimentaires",'📋 Inventaire Complet'!$D$3:$D$517,"&lt;&gt;",'📋 Inventaire Complet'!$L$3:$L$517,"*Abandonné*")+COUNTIFS('📋 Inventaire Complet'!$B$3:$B$517,"*Green Agriculture &amp; Biotechnology*",'📋 Inventaire Complet'!$C$3:$C$517,"Santé animale/alimentaire &amp; procédés agroalimentaires",'📋 Inventaire Complet'!$D$3:$D$517,"&lt;&gt;",'📋 Inventaire Complet'!$L$3:$L$517,"*Rejeté*")</f>
        <v>0</v>
      </c>
      <c r="I42" s="5" t="s">
        <v>419</v>
      </c>
    </row>
    <row r="43" spans="1:9" ht="35" x14ac:dyDescent="0.35">
      <c r="A43" s="263" t="s">
        <v>1617</v>
      </c>
      <c r="B43" s="160" t="s">
        <v>2259</v>
      </c>
      <c r="C43" s="131">
        <f>COUNTIFS('📋 Inventaire Complet'!$B$3:$B$517,"*Sustainable Energy Storage &amp; Management*",'📋 Inventaire Complet'!$D$3:$D$517,"&lt;&gt;")</f>
        <v>29</v>
      </c>
      <c r="D43" s="132">
        <f>COUNTIFS('📋 Inventaire Complet'!$B$3:$B$517,"*Sustainable Energy Storage &amp; Management*",'📋 Inventaire Complet'!$D$3:$D$517,"&lt;&gt;",'📋 Inventaire Complet'!$L$3:$L$517,"*Délivré*")</f>
        <v>1</v>
      </c>
      <c r="E43" s="133">
        <f>COUNTIFS('📋 Inventaire Complet'!$B$3:$B$517,"*Sustainable Energy Storage &amp; Management*",'📋 Inventaire Complet'!$D$3:$D$517,"&lt;&gt;",'📋 Inventaire Complet'!$L$3:$L$517,"*Maintenu*")</f>
        <v>6</v>
      </c>
      <c r="F43" s="134">
        <f>COUNTIFS('📋 Inventaire Complet'!$B$3:$B$517,"*Sustainable Energy Storage &amp; Management*",'📋 Inventaire Complet'!$D$3:$D$517,"&lt;&gt;",'📋 Inventaire Complet'!$L$3:$L$517,"*PCT*")</f>
        <v>5</v>
      </c>
      <c r="G43" s="135">
        <f>COUNTIFS('📋 Inventaire Complet'!$B$3:$B$517,"*Sustainable Energy Storage &amp; Management*",'📋 Inventaire Complet'!$D$3:$D$517,"&lt;&gt;",'📋 Inventaire Complet'!$L$3:$L$517,"*OMPIC*")+COUNTIFS('📋 Inventaire Complet'!$B$3:$B$517,"*Sustainable Energy Storage &amp; Management*",'📋 Inventaire Complet'!$D$3:$D$517,"&lt;&gt;",'📋 Inventaire Complet'!$L$3:$L$517,"*En examen*")</f>
        <v>12</v>
      </c>
      <c r="H43" s="136">
        <f>COUNTIFS('📋 Inventaire Complet'!$B$3:$B$517,"*Sustainable Energy Storage &amp; Management*",'📋 Inventaire Complet'!$D$3:$D$517,"&lt;&gt;",'📋 Inventaire Complet'!$L$3:$L$517,"*Abandonné*")+COUNTIFS('📋 Inventaire Complet'!$B$3:$B$517,"*Sustainable Energy Storage &amp; Management*",'📋 Inventaire Complet'!$D$3:$D$517,"&lt;&gt;",'📋 Inventaire Complet'!$L$3:$L$517,"*Rejeté*")</f>
        <v>0</v>
      </c>
      <c r="I43" s="137" t="s">
        <v>2260</v>
      </c>
    </row>
    <row r="44" spans="1:9" ht="35" x14ac:dyDescent="0.35">
      <c r="A44" s="264"/>
      <c r="B44" s="16" t="s">
        <v>2192</v>
      </c>
      <c r="C44" s="139">
        <f>COUNTIFS('📋 Inventaire Complet'!$B$3:$B$517,"*Sustainable Energy Storage &amp; Management*",'📋 Inventaire Complet'!$C$3:$C$517,"Batteries intelligentes, diagnostic &amp; gestion thermique",'📋 Inventaire Complet'!$D$3:$D$517,"&lt;&gt;")</f>
        <v>6</v>
      </c>
      <c r="D44" s="140">
        <f>COUNTIFS('📋 Inventaire Complet'!$B$3:$B$517,"*Sustainable Energy Storage &amp; Management*",'📋 Inventaire Complet'!$C$3:$C$517,"Batteries intelligentes, diagnostic &amp; gestion thermique",'📋 Inventaire Complet'!$D$3:$D$517,"&lt;&gt;",'📋 Inventaire Complet'!$L$3:$L$517,"*Délivré*")</f>
        <v>0</v>
      </c>
      <c r="E44" s="141">
        <f>COUNTIFS('📋 Inventaire Complet'!$B$3:$B$517,"*Sustainable Energy Storage &amp; Management*",'📋 Inventaire Complet'!$C$3:$C$517,"Batteries intelligentes, diagnostic &amp; gestion thermique",'📋 Inventaire Complet'!$D$3:$D$517,"&lt;&gt;",'📋 Inventaire Complet'!$L$3:$L$517,"*Maintenu*")</f>
        <v>3</v>
      </c>
      <c r="F44" s="142">
        <f>COUNTIFS('📋 Inventaire Complet'!$B$3:$B$517,"*Sustainable Energy Storage &amp; Management*",'📋 Inventaire Complet'!$C$3:$C$517,"Batteries intelligentes, diagnostic &amp; gestion thermique",'📋 Inventaire Complet'!$D$3:$D$517,"&lt;&gt;",'📋 Inventaire Complet'!$L$3:$L$517,"*PCT*")</f>
        <v>2</v>
      </c>
      <c r="G44" s="143">
        <f>COUNTIFS('📋 Inventaire Complet'!$B$3:$B$517,"*Sustainable Energy Storage &amp; Management*",'📋 Inventaire Complet'!$C$3:$C$517,"Batteries intelligentes, diagnostic &amp; gestion thermique",'📋 Inventaire Complet'!$D$3:$D$517,"&lt;&gt;",'📋 Inventaire Complet'!$L$3:$L$517,"*OMPIC*")+COUNTIFS('📋 Inventaire Complet'!$B$3:$B$517,"*Sustainable Energy Storage &amp; Management*",'📋 Inventaire Complet'!$C$3:$C$517,"Batteries intelligentes, diagnostic &amp; gestion thermique",'📋 Inventaire Complet'!$D$3:$D$517,"&lt;&gt;",'📋 Inventaire Complet'!$L$3:$L$517,"*En examen*")</f>
        <v>0</v>
      </c>
      <c r="H44" s="144">
        <f>COUNTIFS('📋 Inventaire Complet'!$B$3:$B$517,"*Sustainable Energy Storage &amp; Management*",'📋 Inventaire Complet'!$C$3:$C$517,"Batteries intelligentes, diagnostic &amp; gestion thermique",'📋 Inventaire Complet'!$D$3:$D$517,"&lt;&gt;",'📋 Inventaire Complet'!$L$3:$L$517,"*Abandonné*")+COUNTIFS('📋 Inventaire Complet'!$B$3:$B$517,"*Sustainable Energy Storage &amp; Management*",'📋 Inventaire Complet'!$C$3:$C$517,"Batteries intelligentes, diagnostic &amp; gestion thermique",'📋 Inventaire Complet'!$D$3:$D$517,"&lt;&gt;",'📋 Inventaire Complet'!$L$3:$L$517,"*Rejeté*")</f>
        <v>0</v>
      </c>
      <c r="I44" s="7" t="s">
        <v>2257</v>
      </c>
    </row>
    <row r="45" spans="1:9" x14ac:dyDescent="0.35">
      <c r="A45" s="264"/>
      <c r="B45" s="17" t="s">
        <v>2198</v>
      </c>
      <c r="C45" s="145">
        <f>COUNTIFS('📋 Inventaire Complet'!$B$3:$B$517,"*Sustainable Energy Storage &amp; Management*",'📋 Inventaire Complet'!$C$3:$C$517,"Hydrogène, gaz de synthèse &amp; pyrolyse",'📋 Inventaire Complet'!$D$3:$D$517,"&lt;&gt;")</f>
        <v>2</v>
      </c>
      <c r="D45" s="146">
        <f>COUNTIFS('📋 Inventaire Complet'!$B$3:$B$517,"*Sustainable Energy Storage &amp; Management*",'📋 Inventaire Complet'!$C$3:$C$517,"Hydrogène, gaz de synthèse &amp; pyrolyse",'📋 Inventaire Complet'!$D$3:$D$517,"&lt;&gt;",'📋 Inventaire Complet'!$L$3:$L$517,"*Délivré*")</f>
        <v>0</v>
      </c>
      <c r="E45" s="147">
        <f>COUNTIFS('📋 Inventaire Complet'!$B$3:$B$517,"*Sustainable Energy Storage &amp; Management*",'📋 Inventaire Complet'!$C$3:$C$517,"Hydrogène, gaz de synthèse &amp; pyrolyse",'📋 Inventaire Complet'!$D$3:$D$517,"&lt;&gt;",'📋 Inventaire Complet'!$L$3:$L$517,"*Maintenu*")</f>
        <v>0</v>
      </c>
      <c r="F45" s="148">
        <f>COUNTIFS('📋 Inventaire Complet'!$B$3:$B$517,"*Sustainable Energy Storage &amp; Management*",'📋 Inventaire Complet'!$C$3:$C$517,"Hydrogène, gaz de synthèse &amp; pyrolyse",'📋 Inventaire Complet'!$D$3:$D$517,"&lt;&gt;",'📋 Inventaire Complet'!$L$3:$L$517,"*PCT*")</f>
        <v>0</v>
      </c>
      <c r="G45" s="149">
        <f>COUNTIFS('📋 Inventaire Complet'!$B$3:$B$517,"*Sustainable Energy Storage &amp; Management*",'📋 Inventaire Complet'!$C$3:$C$517,"Hydrogène, gaz de synthèse &amp; pyrolyse",'📋 Inventaire Complet'!$D$3:$D$517,"&lt;&gt;",'📋 Inventaire Complet'!$L$3:$L$517,"*OMPIC*")+COUNTIFS('📋 Inventaire Complet'!$B$3:$B$517,"*Sustainable Energy Storage &amp; Management*",'📋 Inventaire Complet'!$C$3:$C$517,"Hydrogène, gaz de synthèse &amp; pyrolyse",'📋 Inventaire Complet'!$D$3:$D$517,"&lt;&gt;",'📋 Inventaire Complet'!$L$3:$L$517,"*En examen*")</f>
        <v>2</v>
      </c>
      <c r="H45" s="150">
        <f>COUNTIFS('📋 Inventaire Complet'!$B$3:$B$517,"*Sustainable Energy Storage &amp; Management*",'📋 Inventaire Complet'!$C$3:$C$517,"Hydrogène, gaz de synthèse &amp; pyrolyse",'📋 Inventaire Complet'!$D$3:$D$517,"&lt;&gt;",'📋 Inventaire Complet'!$L$3:$L$517,"*Abandonné*")+COUNTIFS('📋 Inventaire Complet'!$B$3:$B$517,"*Sustainable Energy Storage &amp; Management*",'📋 Inventaire Complet'!$C$3:$C$517,"Hydrogène, gaz de synthèse &amp; pyrolyse",'📋 Inventaire Complet'!$D$3:$D$517,"&lt;&gt;",'📋 Inventaire Complet'!$L$3:$L$517,"*Rejeté*")</f>
        <v>0</v>
      </c>
      <c r="I45" s="3" t="s">
        <v>874</v>
      </c>
    </row>
    <row r="46" spans="1:9" ht="35" x14ac:dyDescent="0.35">
      <c r="A46" s="264"/>
      <c r="B46" s="17" t="s">
        <v>2200</v>
      </c>
      <c r="C46" s="145">
        <f>COUNTIFS('📋 Inventaire Complet'!$B$3:$B$517,"*Sustainable Energy Storage &amp; Management*",'📋 Inventaire Complet'!$C$3:$C$517,"Matériaux cathodiques &amp; électrodes pour batteries Li/Na",'📋 Inventaire Complet'!$D$3:$D$517,"&lt;&gt;")</f>
        <v>10</v>
      </c>
      <c r="D46" s="146">
        <f>COUNTIFS('📋 Inventaire Complet'!$B$3:$B$517,"*Sustainable Energy Storage &amp; Management*",'📋 Inventaire Complet'!$C$3:$C$517,"Matériaux cathodiques &amp; électrodes pour batteries Li/Na",'📋 Inventaire Complet'!$D$3:$D$517,"&lt;&gt;",'📋 Inventaire Complet'!$L$3:$L$517,"*Délivré*")</f>
        <v>0</v>
      </c>
      <c r="E46" s="147">
        <f>COUNTIFS('📋 Inventaire Complet'!$B$3:$B$517,"*Sustainable Energy Storage &amp; Management*",'📋 Inventaire Complet'!$C$3:$C$517,"Matériaux cathodiques &amp; électrodes pour batteries Li/Na",'📋 Inventaire Complet'!$D$3:$D$517,"&lt;&gt;",'📋 Inventaire Complet'!$L$3:$L$517,"*Maintenu*")</f>
        <v>3</v>
      </c>
      <c r="F46" s="148">
        <f>COUNTIFS('📋 Inventaire Complet'!$B$3:$B$517,"*Sustainable Energy Storage &amp; Management*",'📋 Inventaire Complet'!$C$3:$C$517,"Matériaux cathodiques &amp; électrodes pour batteries Li/Na",'📋 Inventaire Complet'!$D$3:$D$517,"&lt;&gt;",'📋 Inventaire Complet'!$L$3:$L$517,"*PCT*")</f>
        <v>1</v>
      </c>
      <c r="G46" s="149">
        <f>COUNTIFS('📋 Inventaire Complet'!$B$3:$B$517,"*Sustainable Energy Storage &amp; Management*",'📋 Inventaire Complet'!$C$3:$C$517,"Matériaux cathodiques &amp; électrodes pour batteries Li/Na",'📋 Inventaire Complet'!$D$3:$D$517,"&lt;&gt;",'📋 Inventaire Complet'!$L$3:$L$517,"*OMPIC*")+COUNTIFS('📋 Inventaire Complet'!$B$3:$B$517,"*Sustainable Energy Storage &amp; Management*",'📋 Inventaire Complet'!$C$3:$C$517,"Matériaux cathodiques &amp; électrodes pour batteries Li/Na",'📋 Inventaire Complet'!$D$3:$D$517,"&lt;&gt;",'📋 Inventaire Complet'!$L$3:$L$517,"*En examen*")</f>
        <v>6</v>
      </c>
      <c r="H46" s="150">
        <f>COUNTIFS('📋 Inventaire Complet'!$B$3:$B$517,"*Sustainable Energy Storage &amp; Management*",'📋 Inventaire Complet'!$C$3:$C$517,"Matériaux cathodiques &amp; électrodes pour batteries Li/Na",'📋 Inventaire Complet'!$D$3:$D$517,"&lt;&gt;",'📋 Inventaire Complet'!$L$3:$L$517,"*Abandonné*")+COUNTIFS('📋 Inventaire Complet'!$B$3:$B$517,"*Sustainable Energy Storage &amp; Management*",'📋 Inventaire Complet'!$C$3:$C$517,"Matériaux cathodiques &amp; électrodes pour batteries Li/Na",'📋 Inventaire Complet'!$D$3:$D$517,"&lt;&gt;",'📋 Inventaire Complet'!$L$3:$L$517,"*Rejeté*")</f>
        <v>0</v>
      </c>
      <c r="I46" s="3" t="s">
        <v>2261</v>
      </c>
    </row>
    <row r="47" spans="1:9" x14ac:dyDescent="0.35">
      <c r="A47" s="264"/>
      <c r="B47" s="17" t="s">
        <v>2213</v>
      </c>
      <c r="C47" s="145">
        <f>COUNTIFS('📋 Inventaire Complet'!$B$3:$B$517,"*Sustainable Energy Storage &amp; Management*",'📋 Inventaire Complet'!$C$3:$C$517,"Photovoltaïque, solaire &amp; thermoélectrique",'📋 Inventaire Complet'!$D$3:$D$517,"&lt;&gt;")</f>
        <v>3</v>
      </c>
      <c r="D47" s="146">
        <f>COUNTIFS('📋 Inventaire Complet'!$B$3:$B$517,"*Sustainable Energy Storage &amp; Management*",'📋 Inventaire Complet'!$C$3:$C$517,"Photovoltaïque, solaire &amp; thermoélectrique",'📋 Inventaire Complet'!$D$3:$D$517,"&lt;&gt;",'📋 Inventaire Complet'!$L$3:$L$517,"*Délivré*")</f>
        <v>0</v>
      </c>
      <c r="E47" s="147">
        <f>COUNTIFS('📋 Inventaire Complet'!$B$3:$B$517,"*Sustainable Energy Storage &amp; Management*",'📋 Inventaire Complet'!$C$3:$C$517,"Photovoltaïque, solaire &amp; thermoélectrique",'📋 Inventaire Complet'!$D$3:$D$517,"&lt;&gt;",'📋 Inventaire Complet'!$L$3:$L$517,"*Maintenu*")</f>
        <v>0</v>
      </c>
      <c r="F47" s="148">
        <f>COUNTIFS('📋 Inventaire Complet'!$B$3:$B$517,"*Sustainable Energy Storage &amp; Management*",'📋 Inventaire Complet'!$C$3:$C$517,"Photovoltaïque, solaire &amp; thermoélectrique",'📋 Inventaire Complet'!$D$3:$D$517,"&lt;&gt;",'📋 Inventaire Complet'!$L$3:$L$517,"*PCT*")</f>
        <v>0</v>
      </c>
      <c r="G47" s="149">
        <f>COUNTIFS('📋 Inventaire Complet'!$B$3:$B$517,"*Sustainable Energy Storage &amp; Management*",'📋 Inventaire Complet'!$C$3:$C$517,"Photovoltaïque, solaire &amp; thermoélectrique",'📋 Inventaire Complet'!$D$3:$D$517,"&lt;&gt;",'📋 Inventaire Complet'!$L$3:$L$517,"*OMPIC*")+COUNTIFS('📋 Inventaire Complet'!$B$3:$B$517,"*Sustainable Energy Storage &amp; Management*",'📋 Inventaire Complet'!$C$3:$C$517,"Photovoltaïque, solaire &amp; thermoélectrique",'📋 Inventaire Complet'!$D$3:$D$517,"&lt;&gt;",'📋 Inventaire Complet'!$L$3:$L$517,"*En examen*")</f>
        <v>1</v>
      </c>
      <c r="H47" s="150">
        <f>COUNTIFS('📋 Inventaire Complet'!$B$3:$B$517,"*Sustainable Energy Storage &amp; Management*",'📋 Inventaire Complet'!$C$3:$C$517,"Photovoltaïque, solaire &amp; thermoélectrique",'📋 Inventaire Complet'!$D$3:$D$517,"&lt;&gt;",'📋 Inventaire Complet'!$L$3:$L$517,"*Abandonné*")+COUNTIFS('📋 Inventaire Complet'!$B$3:$B$517,"*Sustainable Energy Storage &amp; Management*",'📋 Inventaire Complet'!$C$3:$C$517,"Photovoltaïque, solaire &amp; thermoélectrique",'📋 Inventaire Complet'!$D$3:$D$517,"&lt;&gt;",'📋 Inventaire Complet'!$L$3:$L$517,"*Rejeté*")</f>
        <v>0</v>
      </c>
      <c r="I47" s="3" t="s">
        <v>2262</v>
      </c>
    </row>
    <row r="48" spans="1:9" ht="35" x14ac:dyDescent="0.35">
      <c r="A48" s="264"/>
      <c r="B48" s="17" t="s">
        <v>2217</v>
      </c>
      <c r="C48" s="145">
        <f>COUNTIFS('📋 Inventaire Complet'!$B$3:$B$517,"*Sustainable Energy Storage &amp; Management*",'📋 Inventaire Complet'!$C$3:$C$517,"Recharge, mobilité électrique &amp; réseaux énergétiques",'📋 Inventaire Complet'!$D$3:$D$517,"&lt;&gt;")</f>
        <v>3</v>
      </c>
      <c r="D48" s="146">
        <f>COUNTIFS('📋 Inventaire Complet'!$B$3:$B$517,"*Sustainable Energy Storage &amp; Management*",'📋 Inventaire Complet'!$C$3:$C$517,"Recharge, mobilité électrique &amp; réseaux énergétiques",'📋 Inventaire Complet'!$D$3:$D$517,"&lt;&gt;",'📋 Inventaire Complet'!$L$3:$L$517,"*Délivré*")</f>
        <v>0</v>
      </c>
      <c r="E48" s="147">
        <f>COUNTIFS('📋 Inventaire Complet'!$B$3:$B$517,"*Sustainable Energy Storage &amp; Management*",'📋 Inventaire Complet'!$C$3:$C$517,"Recharge, mobilité électrique &amp; réseaux énergétiques",'📋 Inventaire Complet'!$D$3:$D$517,"&lt;&gt;",'📋 Inventaire Complet'!$L$3:$L$517,"*Maintenu*")</f>
        <v>0</v>
      </c>
      <c r="F48" s="148">
        <f>COUNTIFS('📋 Inventaire Complet'!$B$3:$B$517,"*Sustainable Energy Storage &amp; Management*",'📋 Inventaire Complet'!$C$3:$C$517,"Recharge, mobilité électrique &amp; réseaux énergétiques",'📋 Inventaire Complet'!$D$3:$D$517,"&lt;&gt;",'📋 Inventaire Complet'!$L$3:$L$517,"*PCT*")</f>
        <v>0</v>
      </c>
      <c r="G48" s="149">
        <f>COUNTIFS('📋 Inventaire Complet'!$B$3:$B$517,"*Sustainable Energy Storage &amp; Management*",'📋 Inventaire Complet'!$C$3:$C$517,"Recharge, mobilité électrique &amp; réseaux énergétiques",'📋 Inventaire Complet'!$D$3:$D$517,"&lt;&gt;",'📋 Inventaire Complet'!$L$3:$L$517,"*OMPIC*")+COUNTIFS('📋 Inventaire Complet'!$B$3:$B$517,"*Sustainable Energy Storage &amp; Management*",'📋 Inventaire Complet'!$C$3:$C$517,"Recharge, mobilité électrique &amp; réseaux énergétiques",'📋 Inventaire Complet'!$D$3:$D$517,"&lt;&gt;",'📋 Inventaire Complet'!$L$3:$L$517,"*En examen*")</f>
        <v>1</v>
      </c>
      <c r="H48" s="150">
        <f>COUNTIFS('📋 Inventaire Complet'!$B$3:$B$517,"*Sustainable Energy Storage &amp; Management*",'📋 Inventaire Complet'!$C$3:$C$517,"Recharge, mobilité électrique &amp; réseaux énergétiques",'📋 Inventaire Complet'!$D$3:$D$517,"&lt;&gt;",'📋 Inventaire Complet'!$L$3:$L$517,"*Abandonné*")+COUNTIFS('📋 Inventaire Complet'!$B$3:$B$517,"*Sustainable Energy Storage &amp; Management*",'📋 Inventaire Complet'!$C$3:$C$517,"Recharge, mobilité électrique &amp; réseaux énergétiques",'📋 Inventaire Complet'!$D$3:$D$517,"&lt;&gt;",'📋 Inventaire Complet'!$L$3:$L$517,"*Rejeté*")</f>
        <v>0</v>
      </c>
      <c r="I48" s="3" t="s">
        <v>2263</v>
      </c>
    </row>
    <row r="49" spans="1:9" x14ac:dyDescent="0.35">
      <c r="A49" s="264"/>
      <c r="B49" s="17" t="s">
        <v>2224</v>
      </c>
      <c r="C49" s="145">
        <f>COUNTIFS('📋 Inventaire Complet'!$B$3:$B$517,"*Sustainable Energy Storage &amp; Management*",'📋 Inventaire Complet'!$C$3:$C$517,"Stockage thermique &amp; matériaux céramiques",'📋 Inventaire Complet'!$D$3:$D$517,"&lt;&gt;")</f>
        <v>3</v>
      </c>
      <c r="D49" s="146">
        <f>COUNTIFS('📋 Inventaire Complet'!$B$3:$B$517,"*Sustainable Energy Storage &amp; Management*",'📋 Inventaire Complet'!$C$3:$C$517,"Stockage thermique &amp; matériaux céramiques",'📋 Inventaire Complet'!$D$3:$D$517,"&lt;&gt;",'📋 Inventaire Complet'!$L$3:$L$517,"*Délivré*")</f>
        <v>1</v>
      </c>
      <c r="E49" s="147">
        <f>COUNTIFS('📋 Inventaire Complet'!$B$3:$B$517,"*Sustainable Energy Storage &amp; Management*",'📋 Inventaire Complet'!$C$3:$C$517,"Stockage thermique &amp; matériaux céramiques",'📋 Inventaire Complet'!$D$3:$D$517,"&lt;&gt;",'📋 Inventaire Complet'!$L$3:$L$517,"*Maintenu*")</f>
        <v>0</v>
      </c>
      <c r="F49" s="148">
        <f>COUNTIFS('📋 Inventaire Complet'!$B$3:$B$517,"*Sustainable Energy Storage &amp; Management*",'📋 Inventaire Complet'!$C$3:$C$517,"Stockage thermique &amp; matériaux céramiques",'📋 Inventaire Complet'!$D$3:$D$517,"&lt;&gt;",'📋 Inventaire Complet'!$L$3:$L$517,"*PCT*")</f>
        <v>1</v>
      </c>
      <c r="G49" s="149">
        <f>COUNTIFS('📋 Inventaire Complet'!$B$3:$B$517,"*Sustainable Energy Storage &amp; Management*",'📋 Inventaire Complet'!$C$3:$C$517,"Stockage thermique &amp; matériaux céramiques",'📋 Inventaire Complet'!$D$3:$D$517,"&lt;&gt;",'📋 Inventaire Complet'!$L$3:$L$517,"*OMPIC*")+COUNTIFS('📋 Inventaire Complet'!$B$3:$B$517,"*Sustainable Energy Storage &amp; Management*",'📋 Inventaire Complet'!$C$3:$C$517,"Stockage thermique &amp; matériaux céramiques",'📋 Inventaire Complet'!$D$3:$D$517,"&lt;&gt;",'📋 Inventaire Complet'!$L$3:$L$517,"*En examen*")</f>
        <v>1</v>
      </c>
      <c r="H49" s="150">
        <f>COUNTIFS('📋 Inventaire Complet'!$B$3:$B$517,"*Sustainable Energy Storage &amp; Management*",'📋 Inventaire Complet'!$C$3:$C$517,"Stockage thermique &amp; matériaux céramiques",'📋 Inventaire Complet'!$D$3:$D$517,"&lt;&gt;",'📋 Inventaire Complet'!$L$3:$L$517,"*Abandonné*")+COUNTIFS('📋 Inventaire Complet'!$B$3:$B$517,"*Sustainable Energy Storage &amp; Management*",'📋 Inventaire Complet'!$C$3:$C$517,"Stockage thermique &amp; matériaux céramiques",'📋 Inventaire Complet'!$D$3:$D$517,"&lt;&gt;",'📋 Inventaire Complet'!$L$3:$L$517,"*Rejeté*")</f>
        <v>0</v>
      </c>
      <c r="I49" s="3" t="s">
        <v>1912</v>
      </c>
    </row>
    <row r="50" spans="1:9" ht="35.5" thickBot="1" x14ac:dyDescent="0.4">
      <c r="A50" s="265"/>
      <c r="B50" s="18" t="s">
        <v>2225</v>
      </c>
      <c r="C50" s="151">
        <f>COUNTIFS('📋 Inventaire Complet'!$B$3:$B$517,"*Sustainable Energy Storage &amp; Management*",'📋 Inventaire Complet'!$C$3:$C$517,"Synthèse LFP/FePO4 &amp; matériaux actifs phosphatés",'📋 Inventaire Complet'!$D$3:$D$517,"&lt;&gt;")</f>
        <v>2</v>
      </c>
      <c r="D50" s="152">
        <f>COUNTIFS('📋 Inventaire Complet'!$B$3:$B$517,"*Sustainable Energy Storage &amp; Management*",'📋 Inventaire Complet'!$C$3:$C$517,"Synthèse LFP/FePO4 &amp; matériaux actifs phosphatés",'📋 Inventaire Complet'!$D$3:$D$517,"&lt;&gt;",'📋 Inventaire Complet'!$L$3:$L$517,"*Délivré*")</f>
        <v>0</v>
      </c>
      <c r="E50" s="153">
        <f>COUNTIFS('📋 Inventaire Complet'!$B$3:$B$517,"*Sustainable Energy Storage &amp; Management*",'📋 Inventaire Complet'!$C$3:$C$517,"Synthèse LFP/FePO4 &amp; matériaux actifs phosphatés",'📋 Inventaire Complet'!$D$3:$D$517,"&lt;&gt;",'📋 Inventaire Complet'!$L$3:$L$517,"*Maintenu*")</f>
        <v>0</v>
      </c>
      <c r="F50" s="154">
        <f>COUNTIFS('📋 Inventaire Complet'!$B$3:$B$517,"*Sustainable Energy Storage &amp; Management*",'📋 Inventaire Complet'!$C$3:$C$517,"Synthèse LFP/FePO4 &amp; matériaux actifs phosphatés",'📋 Inventaire Complet'!$D$3:$D$517,"&lt;&gt;",'📋 Inventaire Complet'!$L$3:$L$517,"*PCT*")</f>
        <v>1</v>
      </c>
      <c r="G50" s="155">
        <f>COUNTIFS('📋 Inventaire Complet'!$B$3:$B$517,"*Sustainable Energy Storage &amp; Management*",'📋 Inventaire Complet'!$C$3:$C$517,"Synthèse LFP/FePO4 &amp; matériaux actifs phosphatés",'📋 Inventaire Complet'!$D$3:$D$517,"&lt;&gt;",'📋 Inventaire Complet'!$L$3:$L$517,"*OMPIC*")+COUNTIFS('📋 Inventaire Complet'!$B$3:$B$517,"*Sustainable Energy Storage &amp; Management*",'📋 Inventaire Complet'!$C$3:$C$517,"Synthèse LFP/FePO4 &amp; matériaux actifs phosphatés",'📋 Inventaire Complet'!$D$3:$D$517,"&lt;&gt;",'📋 Inventaire Complet'!$L$3:$L$517,"*En examen*")</f>
        <v>1</v>
      </c>
      <c r="H50" s="156">
        <f>COUNTIFS('📋 Inventaire Complet'!$B$3:$B$517,"*Sustainable Energy Storage &amp; Management*",'📋 Inventaire Complet'!$C$3:$C$517,"Synthèse LFP/FePO4 &amp; matériaux actifs phosphatés",'📋 Inventaire Complet'!$D$3:$D$517,"&lt;&gt;",'📋 Inventaire Complet'!$L$3:$L$517,"*Abandonné*")+COUNTIFS('📋 Inventaire Complet'!$B$3:$B$517,"*Sustainable Energy Storage &amp; Management*",'📋 Inventaire Complet'!$C$3:$C$517,"Synthèse LFP/FePO4 &amp; matériaux actifs phosphatés",'📋 Inventaire Complet'!$D$3:$D$517,"&lt;&gt;",'📋 Inventaire Complet'!$L$3:$L$517,"*Rejeté*")</f>
        <v>0</v>
      </c>
      <c r="I50" s="5" t="s">
        <v>874</v>
      </c>
    </row>
    <row r="51" spans="1:9" x14ac:dyDescent="0.35">
      <c r="A51" s="161" t="s">
        <v>1723</v>
      </c>
      <c r="B51" s="161" t="s">
        <v>2264</v>
      </c>
      <c r="C51" s="162">
        <f t="shared" ref="C51:H51" si="0">SUM(C3,C14,C25,C34,C43)</f>
        <v>391</v>
      </c>
      <c r="D51" s="163">
        <f t="shared" si="0"/>
        <v>51</v>
      </c>
      <c r="E51" s="164">
        <f t="shared" si="0"/>
        <v>121</v>
      </c>
      <c r="F51" s="165">
        <f t="shared" si="0"/>
        <v>26</v>
      </c>
      <c r="G51" s="166">
        <f t="shared" si="0"/>
        <v>59</v>
      </c>
      <c r="H51" s="167">
        <f t="shared" si="0"/>
        <v>47</v>
      </c>
      <c r="I51" s="168"/>
    </row>
    <row r="52" spans="1:9" x14ac:dyDescent="0.35">
      <c r="A52"/>
      <c r="B52"/>
      <c r="C52"/>
      <c r="D52"/>
      <c r="E52"/>
      <c r="F52"/>
      <c r="G52"/>
      <c r="H52"/>
      <c r="I52"/>
    </row>
    <row r="53" spans="1:9" x14ac:dyDescent="0.35">
      <c r="A53"/>
      <c r="B53"/>
      <c r="C53"/>
      <c r="D53"/>
      <c r="E53"/>
      <c r="F53"/>
      <c r="G53"/>
      <c r="H53"/>
      <c r="I53"/>
    </row>
    <row r="54" spans="1:9" x14ac:dyDescent="0.35">
      <c r="A54"/>
      <c r="B54"/>
      <c r="C54"/>
      <c r="D54"/>
      <c r="E54"/>
      <c r="F54"/>
      <c r="G54"/>
      <c r="H54"/>
      <c r="I54"/>
    </row>
    <row r="55" spans="1:9" x14ac:dyDescent="0.35">
      <c r="A55"/>
      <c r="B55"/>
      <c r="C55"/>
      <c r="D55"/>
      <c r="E55"/>
      <c r="F55"/>
      <c r="G55"/>
      <c r="H55"/>
      <c r="I55"/>
    </row>
    <row r="56" spans="1:9" x14ac:dyDescent="0.35">
      <c r="A56"/>
      <c r="B56"/>
      <c r="C56"/>
      <c r="D56"/>
      <c r="E56"/>
      <c r="F56"/>
      <c r="G56"/>
      <c r="H56"/>
      <c r="I56"/>
    </row>
    <row r="57" spans="1:9" x14ac:dyDescent="0.35">
      <c r="A57"/>
      <c r="B57"/>
      <c r="C57"/>
      <c r="D57"/>
      <c r="E57"/>
      <c r="F57"/>
      <c r="G57"/>
      <c r="H57"/>
      <c r="I57"/>
    </row>
    <row r="58" spans="1:9" x14ac:dyDescent="0.35">
      <c r="A58"/>
      <c r="B58"/>
      <c r="C58"/>
      <c r="D58"/>
      <c r="E58"/>
      <c r="F58"/>
      <c r="G58"/>
      <c r="H58"/>
      <c r="I58"/>
    </row>
    <row r="59" spans="1:9" x14ac:dyDescent="0.35">
      <c r="A59"/>
      <c r="B59"/>
      <c r="C59"/>
      <c r="D59"/>
      <c r="E59"/>
      <c r="F59"/>
      <c r="G59"/>
      <c r="H59"/>
      <c r="I59"/>
    </row>
    <row r="60" spans="1:9" x14ac:dyDescent="0.35">
      <c r="A60"/>
      <c r="B60"/>
      <c r="C60"/>
      <c r="D60"/>
      <c r="E60"/>
      <c r="F60"/>
      <c r="G60"/>
      <c r="H60"/>
      <c r="I60"/>
    </row>
    <row r="61" spans="1:9" x14ac:dyDescent="0.35">
      <c r="A61"/>
      <c r="B61"/>
      <c r="C61"/>
      <c r="D61"/>
      <c r="E61"/>
      <c r="F61"/>
      <c r="G61"/>
      <c r="H61"/>
      <c r="I61"/>
    </row>
    <row r="62" spans="1:9" x14ac:dyDescent="0.35">
      <c r="A62"/>
      <c r="B62"/>
      <c r="C62"/>
      <c r="D62"/>
      <c r="E62"/>
      <c r="F62"/>
      <c r="G62"/>
      <c r="H62"/>
      <c r="I62"/>
    </row>
    <row r="63" spans="1:9" x14ac:dyDescent="0.35">
      <c r="A63"/>
      <c r="B63"/>
      <c r="C63"/>
      <c r="D63"/>
      <c r="E63"/>
      <c r="F63"/>
      <c r="G63"/>
      <c r="H63"/>
      <c r="I63"/>
    </row>
    <row r="64" spans="1:9" x14ac:dyDescent="0.35">
      <c r="A64"/>
      <c r="B64"/>
      <c r="C64"/>
      <c r="D64"/>
      <c r="E64"/>
      <c r="F64"/>
      <c r="G64"/>
      <c r="H64"/>
      <c r="I64"/>
    </row>
    <row r="65" spans="1:9" x14ac:dyDescent="0.35">
      <c r="A65"/>
      <c r="B65"/>
      <c r="C65"/>
      <c r="D65"/>
      <c r="E65"/>
      <c r="F65"/>
      <c r="G65"/>
      <c r="H65"/>
      <c r="I65"/>
    </row>
    <row r="66" spans="1:9" x14ac:dyDescent="0.35">
      <c r="A66"/>
      <c r="B66"/>
      <c r="C66"/>
      <c r="D66"/>
      <c r="E66"/>
      <c r="F66"/>
      <c r="G66"/>
      <c r="H66"/>
      <c r="I66"/>
    </row>
    <row r="67" spans="1:9" x14ac:dyDescent="0.35">
      <c r="A67"/>
      <c r="B67"/>
      <c r="C67"/>
      <c r="D67"/>
      <c r="E67"/>
      <c r="F67"/>
      <c r="G67"/>
      <c r="H67"/>
      <c r="I67"/>
    </row>
    <row r="68" spans="1:9" x14ac:dyDescent="0.35">
      <c r="A68"/>
      <c r="B68"/>
      <c r="C68"/>
      <c r="D68"/>
      <c r="E68"/>
      <c r="F68"/>
      <c r="G68"/>
      <c r="H68"/>
      <c r="I68"/>
    </row>
    <row r="69" spans="1:9" x14ac:dyDescent="0.35">
      <c r="A69"/>
      <c r="B69"/>
      <c r="C69"/>
      <c r="D69"/>
      <c r="E69"/>
      <c r="F69"/>
      <c r="G69"/>
      <c r="H69"/>
      <c r="I69"/>
    </row>
    <row r="70" spans="1:9" x14ac:dyDescent="0.35">
      <c r="A70"/>
      <c r="B70"/>
      <c r="C70"/>
      <c r="D70"/>
      <c r="E70"/>
      <c r="F70"/>
      <c r="G70"/>
      <c r="H70"/>
      <c r="I70"/>
    </row>
    <row r="71" spans="1:9" x14ac:dyDescent="0.35">
      <c r="A71"/>
      <c r="B71"/>
      <c r="C71"/>
      <c r="D71"/>
      <c r="E71"/>
      <c r="F71"/>
      <c r="G71"/>
      <c r="H71"/>
      <c r="I71"/>
    </row>
    <row r="72" spans="1:9" x14ac:dyDescent="0.35">
      <c r="A72"/>
      <c r="B72"/>
      <c r="C72"/>
      <c r="D72"/>
      <c r="E72"/>
      <c r="F72"/>
      <c r="G72"/>
      <c r="H72"/>
      <c r="I72"/>
    </row>
    <row r="73" spans="1:9" x14ac:dyDescent="0.35">
      <c r="A73"/>
      <c r="B73"/>
      <c r="C73"/>
      <c r="D73"/>
      <c r="E73"/>
      <c r="F73"/>
      <c r="G73"/>
      <c r="H73"/>
      <c r="I73"/>
    </row>
    <row r="74" spans="1:9" x14ac:dyDescent="0.35">
      <c r="A74"/>
      <c r="B74"/>
      <c r="C74"/>
      <c r="D74"/>
      <c r="E74"/>
      <c r="F74"/>
      <c r="G74"/>
      <c r="H74"/>
      <c r="I74"/>
    </row>
    <row r="75" spans="1:9" x14ac:dyDescent="0.35">
      <c r="A75"/>
      <c r="B75"/>
      <c r="C75"/>
      <c r="D75"/>
      <c r="E75"/>
      <c r="F75"/>
      <c r="G75"/>
      <c r="H75"/>
      <c r="I75"/>
    </row>
    <row r="76" spans="1:9" x14ac:dyDescent="0.35">
      <c r="A76"/>
      <c r="B76"/>
      <c r="C76"/>
      <c r="D76"/>
      <c r="E76"/>
      <c r="F76"/>
      <c r="G76"/>
      <c r="H76"/>
      <c r="I76"/>
    </row>
    <row r="77" spans="1:9" x14ac:dyDescent="0.35">
      <c r="A77"/>
      <c r="B77"/>
      <c r="C77"/>
      <c r="D77"/>
      <c r="E77"/>
      <c r="F77"/>
      <c r="G77"/>
      <c r="H77"/>
      <c r="I77"/>
    </row>
    <row r="78" spans="1:9" x14ac:dyDescent="0.35">
      <c r="A78"/>
      <c r="B78"/>
      <c r="C78"/>
      <c r="D78"/>
      <c r="E78"/>
      <c r="F78"/>
      <c r="G78"/>
      <c r="H78"/>
      <c r="I78"/>
    </row>
    <row r="79" spans="1:9" x14ac:dyDescent="0.35">
      <c r="A79"/>
      <c r="B79"/>
      <c r="C79"/>
      <c r="D79"/>
      <c r="E79"/>
      <c r="F79"/>
      <c r="G79"/>
      <c r="H79"/>
      <c r="I79"/>
    </row>
    <row r="80" spans="1:9" x14ac:dyDescent="0.35">
      <c r="A80"/>
      <c r="B80"/>
      <c r="C80"/>
      <c r="D80"/>
      <c r="E80"/>
      <c r="F80"/>
      <c r="G80"/>
      <c r="H80"/>
      <c r="I80"/>
    </row>
    <row r="81" spans="1:9" x14ac:dyDescent="0.35">
      <c r="A81"/>
      <c r="B81"/>
      <c r="C81"/>
      <c r="D81"/>
      <c r="E81"/>
      <c r="F81"/>
      <c r="G81"/>
      <c r="H81"/>
      <c r="I81"/>
    </row>
    <row r="82" spans="1:9" x14ac:dyDescent="0.35">
      <c r="A82"/>
      <c r="B82"/>
      <c r="C82"/>
      <c r="D82"/>
      <c r="E82"/>
      <c r="F82"/>
      <c r="G82"/>
      <c r="H82"/>
      <c r="I82"/>
    </row>
    <row r="83" spans="1:9" x14ac:dyDescent="0.35">
      <c r="A83"/>
      <c r="B83"/>
      <c r="C83"/>
      <c r="D83"/>
      <c r="E83"/>
      <c r="F83"/>
      <c r="G83"/>
      <c r="H83"/>
      <c r="I83"/>
    </row>
    <row r="84" spans="1:9" x14ac:dyDescent="0.35">
      <c r="A84"/>
      <c r="B84"/>
      <c r="C84"/>
      <c r="D84"/>
      <c r="E84"/>
      <c r="F84"/>
      <c r="G84"/>
      <c r="H84"/>
      <c r="I84"/>
    </row>
    <row r="85" spans="1:9" x14ac:dyDescent="0.35">
      <c r="A85"/>
      <c r="B85"/>
      <c r="C85"/>
      <c r="D85"/>
      <c r="E85"/>
      <c r="F85"/>
      <c r="G85"/>
      <c r="H85"/>
      <c r="I85"/>
    </row>
    <row r="86" spans="1:9" x14ac:dyDescent="0.35">
      <c r="A86"/>
      <c r="B86"/>
      <c r="C86"/>
      <c r="D86"/>
      <c r="E86"/>
      <c r="F86"/>
      <c r="G86"/>
      <c r="H86"/>
      <c r="I86"/>
    </row>
    <row r="87" spans="1:9" x14ac:dyDescent="0.35">
      <c r="A87"/>
      <c r="B87"/>
      <c r="C87"/>
      <c r="D87"/>
      <c r="E87"/>
      <c r="F87"/>
      <c r="G87"/>
      <c r="H87"/>
      <c r="I87"/>
    </row>
    <row r="88" spans="1:9" x14ac:dyDescent="0.35">
      <c r="A88"/>
      <c r="B88"/>
      <c r="C88"/>
      <c r="D88"/>
      <c r="E88"/>
      <c r="F88"/>
      <c r="G88"/>
      <c r="H88"/>
      <c r="I88"/>
    </row>
    <row r="89" spans="1:9" x14ac:dyDescent="0.35">
      <c r="A89"/>
      <c r="B89"/>
      <c r="C89"/>
      <c r="D89"/>
      <c r="E89"/>
      <c r="F89"/>
      <c r="G89"/>
      <c r="H89"/>
      <c r="I89"/>
    </row>
    <row r="90" spans="1:9" x14ac:dyDescent="0.35">
      <c r="A90"/>
      <c r="B90"/>
      <c r="C90"/>
      <c r="D90"/>
      <c r="E90"/>
      <c r="F90"/>
      <c r="G90"/>
      <c r="H90"/>
      <c r="I90"/>
    </row>
    <row r="91" spans="1:9" x14ac:dyDescent="0.35">
      <c r="A91"/>
      <c r="B91"/>
      <c r="C91"/>
      <c r="D91"/>
      <c r="E91"/>
      <c r="F91"/>
      <c r="G91"/>
      <c r="H91"/>
      <c r="I91"/>
    </row>
    <row r="92" spans="1:9" x14ac:dyDescent="0.35">
      <c r="A92"/>
      <c r="B92"/>
      <c r="C92"/>
      <c r="D92"/>
      <c r="E92"/>
      <c r="F92"/>
      <c r="G92"/>
      <c r="H92"/>
      <c r="I92"/>
    </row>
    <row r="93" spans="1:9" x14ac:dyDescent="0.35">
      <c r="A93"/>
      <c r="B93"/>
      <c r="C93"/>
      <c r="D93"/>
      <c r="E93"/>
      <c r="F93"/>
      <c r="G93"/>
      <c r="H93"/>
      <c r="I93"/>
    </row>
    <row r="94" spans="1:9" x14ac:dyDescent="0.35">
      <c r="A94"/>
      <c r="B94"/>
      <c r="C94"/>
      <c r="D94"/>
      <c r="E94"/>
      <c r="F94"/>
      <c r="G94"/>
      <c r="H94"/>
      <c r="I94"/>
    </row>
    <row r="95" spans="1:9" x14ac:dyDescent="0.35">
      <c r="A95"/>
      <c r="B95"/>
      <c r="C95"/>
      <c r="D95"/>
      <c r="E95"/>
      <c r="F95"/>
      <c r="G95"/>
      <c r="H95"/>
      <c r="I95"/>
    </row>
    <row r="96" spans="1:9" x14ac:dyDescent="0.35">
      <c r="A96"/>
      <c r="B96"/>
      <c r="C96"/>
      <c r="D96"/>
      <c r="E96"/>
      <c r="F96"/>
      <c r="G96"/>
      <c r="H96"/>
      <c r="I96"/>
    </row>
    <row r="97" spans="1:9" x14ac:dyDescent="0.35">
      <c r="A97"/>
      <c r="B97"/>
      <c r="C97"/>
      <c r="D97"/>
      <c r="E97"/>
      <c r="F97"/>
      <c r="G97"/>
      <c r="H97"/>
      <c r="I97"/>
    </row>
    <row r="98" spans="1:9" x14ac:dyDescent="0.35">
      <c r="A98"/>
      <c r="B98"/>
      <c r="C98"/>
      <c r="D98"/>
      <c r="E98"/>
      <c r="F98"/>
      <c r="G98"/>
      <c r="H98"/>
      <c r="I98"/>
    </row>
    <row r="99" spans="1:9" x14ac:dyDescent="0.35">
      <c r="A99"/>
      <c r="B99"/>
      <c r="C99"/>
      <c r="D99"/>
      <c r="E99"/>
      <c r="F99"/>
      <c r="G99"/>
      <c r="H99"/>
      <c r="I99"/>
    </row>
    <row r="100" spans="1:9" x14ac:dyDescent="0.35">
      <c r="A100"/>
      <c r="B100"/>
      <c r="C100"/>
      <c r="D100"/>
      <c r="E100"/>
      <c r="F100"/>
      <c r="G100"/>
      <c r="H100"/>
      <c r="I100"/>
    </row>
    <row r="101" spans="1:9" x14ac:dyDescent="0.35">
      <c r="A101"/>
      <c r="B101"/>
      <c r="C101"/>
      <c r="D101"/>
      <c r="E101"/>
      <c r="F101"/>
      <c r="G101"/>
      <c r="H101"/>
      <c r="I101"/>
    </row>
    <row r="102" spans="1:9" x14ac:dyDescent="0.35">
      <c r="A102"/>
      <c r="B102"/>
      <c r="C102"/>
      <c r="D102"/>
      <c r="E102"/>
      <c r="F102"/>
      <c r="G102"/>
      <c r="H102"/>
      <c r="I102"/>
    </row>
    <row r="103" spans="1:9" x14ac:dyDescent="0.35">
      <c r="A103"/>
      <c r="B103"/>
      <c r="C103"/>
      <c r="D103"/>
      <c r="E103"/>
      <c r="F103"/>
      <c r="G103"/>
      <c r="H103"/>
      <c r="I103"/>
    </row>
    <row r="104" spans="1:9" x14ac:dyDescent="0.35">
      <c r="A104"/>
      <c r="B104"/>
      <c r="C104"/>
      <c r="D104"/>
      <c r="E104"/>
      <c r="F104"/>
      <c r="G104"/>
      <c r="H104"/>
      <c r="I104"/>
    </row>
    <row r="105" spans="1:9" x14ac:dyDescent="0.35">
      <c r="A105"/>
      <c r="B105"/>
      <c r="C105"/>
      <c r="D105"/>
      <c r="E105"/>
      <c r="F105"/>
      <c r="G105"/>
      <c r="H105"/>
      <c r="I105"/>
    </row>
    <row r="106" spans="1:9" x14ac:dyDescent="0.35">
      <c r="A106"/>
      <c r="B106"/>
      <c r="C106"/>
      <c r="D106"/>
      <c r="E106"/>
      <c r="F106"/>
      <c r="G106"/>
      <c r="H106"/>
      <c r="I106"/>
    </row>
    <row r="107" spans="1:9" x14ac:dyDescent="0.35">
      <c r="A107"/>
      <c r="B107"/>
      <c r="C107"/>
      <c r="D107"/>
      <c r="E107"/>
      <c r="F107"/>
      <c r="G107"/>
      <c r="H107"/>
      <c r="I107"/>
    </row>
    <row r="108" spans="1:9" x14ac:dyDescent="0.35">
      <c r="A108"/>
      <c r="B108"/>
      <c r="C108"/>
      <c r="D108"/>
      <c r="E108"/>
      <c r="F108"/>
      <c r="G108"/>
      <c r="H108"/>
      <c r="I108"/>
    </row>
    <row r="109" spans="1:9" x14ac:dyDescent="0.35">
      <c r="A109"/>
      <c r="B109"/>
      <c r="C109"/>
      <c r="D109"/>
      <c r="E109"/>
      <c r="F109"/>
      <c r="G109"/>
      <c r="H109"/>
      <c r="I109"/>
    </row>
    <row r="110" spans="1:9" x14ac:dyDescent="0.35">
      <c r="A110"/>
      <c r="B110"/>
      <c r="C110"/>
      <c r="D110"/>
      <c r="E110"/>
      <c r="F110"/>
      <c r="G110"/>
      <c r="H110"/>
      <c r="I110"/>
    </row>
    <row r="111" spans="1:9" x14ac:dyDescent="0.35">
      <c r="A111"/>
      <c r="B111"/>
      <c r="C111"/>
      <c r="D111"/>
      <c r="E111"/>
      <c r="F111"/>
      <c r="G111"/>
      <c r="H111"/>
      <c r="I111"/>
    </row>
    <row r="112" spans="1:9" x14ac:dyDescent="0.35">
      <c r="A112"/>
      <c r="B112"/>
      <c r="C112"/>
      <c r="D112"/>
      <c r="E112"/>
      <c r="F112"/>
      <c r="G112"/>
      <c r="H112"/>
      <c r="I112"/>
    </row>
    <row r="113" spans="1:9" x14ac:dyDescent="0.35">
      <c r="A113"/>
      <c r="B113"/>
      <c r="C113"/>
      <c r="D113"/>
      <c r="E113"/>
      <c r="F113"/>
      <c r="G113"/>
      <c r="H113"/>
      <c r="I113"/>
    </row>
    <row r="114" spans="1:9" x14ac:dyDescent="0.35">
      <c r="A114"/>
      <c r="B114"/>
      <c r="C114"/>
      <c r="D114"/>
      <c r="E114"/>
      <c r="F114"/>
      <c r="G114"/>
      <c r="H114"/>
      <c r="I114"/>
    </row>
    <row r="115" spans="1:9" x14ac:dyDescent="0.35">
      <c r="A115"/>
      <c r="B115"/>
      <c r="C115"/>
      <c r="D115"/>
      <c r="E115"/>
      <c r="F115"/>
      <c r="G115"/>
      <c r="H115"/>
      <c r="I115"/>
    </row>
    <row r="116" spans="1:9" x14ac:dyDescent="0.35">
      <c r="A116"/>
      <c r="B116"/>
      <c r="C116"/>
      <c r="D116"/>
      <c r="E116"/>
      <c r="F116"/>
      <c r="G116"/>
      <c r="H116"/>
      <c r="I116"/>
    </row>
    <row r="117" spans="1:9" x14ac:dyDescent="0.35">
      <c r="A117"/>
      <c r="B117"/>
      <c r="C117"/>
      <c r="D117"/>
      <c r="E117"/>
      <c r="F117"/>
      <c r="G117"/>
      <c r="H117"/>
      <c r="I117"/>
    </row>
    <row r="118" spans="1:9" x14ac:dyDescent="0.35">
      <c r="A118"/>
      <c r="B118"/>
      <c r="C118"/>
      <c r="D118"/>
      <c r="E118"/>
      <c r="F118"/>
      <c r="G118"/>
      <c r="H118"/>
      <c r="I118"/>
    </row>
    <row r="119" spans="1:9" x14ac:dyDescent="0.35">
      <c r="A119"/>
      <c r="B119"/>
      <c r="C119"/>
      <c r="D119"/>
      <c r="E119"/>
      <c r="F119"/>
      <c r="G119"/>
      <c r="H119"/>
      <c r="I119"/>
    </row>
    <row r="120" spans="1:9" x14ac:dyDescent="0.35">
      <c r="A120"/>
      <c r="B120"/>
      <c r="C120"/>
      <c r="D120"/>
      <c r="E120"/>
      <c r="F120"/>
      <c r="G120"/>
      <c r="H120"/>
      <c r="I120"/>
    </row>
  </sheetData>
  <mergeCells count="6">
    <mergeCell ref="A43:A50"/>
    <mergeCell ref="A1:I1"/>
    <mergeCell ref="A3:A13"/>
    <mergeCell ref="A14:A24"/>
    <mergeCell ref="A25:A33"/>
    <mergeCell ref="A34:A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showGridLines="0" zoomScale="56" workbookViewId="0">
      <pane ySplit="2" topLeftCell="A3" activePane="bottomLeft" state="frozen"/>
      <selection activeCell="D1" sqref="D1"/>
      <selection pane="bottomLeft" activeCell="D25" sqref="D25"/>
    </sheetView>
  </sheetViews>
  <sheetFormatPr baseColWidth="10" defaultColWidth="8.90625" defaultRowHeight="18.5" x14ac:dyDescent="0.45"/>
  <cols>
    <col min="1" max="1" width="37.81640625" style="1" bestFit="1" customWidth="1"/>
    <col min="2" max="2" width="15" style="1" bestFit="1" customWidth="1"/>
    <col min="3" max="3" width="16.1796875" style="1" bestFit="1" customWidth="1"/>
    <col min="4" max="4" width="18.1796875" style="1" bestFit="1" customWidth="1"/>
    <col min="5" max="5" width="10.453125" style="1" bestFit="1" customWidth="1"/>
    <col min="6" max="6" width="21.54296875" style="1" bestFit="1" customWidth="1"/>
    <col min="7" max="7" width="255.81640625" style="1" bestFit="1" customWidth="1"/>
    <col min="8" max="8" width="223.08984375" style="1" bestFit="1" customWidth="1"/>
    <col min="9" max="9" width="37.453125" style="1" bestFit="1" customWidth="1"/>
    <col min="10" max="16384" width="8.90625" style="1"/>
  </cols>
  <sheetData>
    <row r="1" spans="1:9" x14ac:dyDescent="0.45">
      <c r="A1" s="281" t="str">
        <f>"Synthèse par Hub / Laboratoire — " &amp; COUNTA(A3:A21) &amp; " entités  |  " &amp; B22 &amp; " Brevets"</f>
        <v>Synthèse par Hub / Laboratoire — 19 entités  |  393 Brevets</v>
      </c>
      <c r="B1" s="282"/>
      <c r="C1" s="282"/>
      <c r="D1" s="282"/>
      <c r="E1" s="282"/>
      <c r="F1" s="282"/>
      <c r="G1" s="282"/>
      <c r="H1" s="282"/>
      <c r="I1" s="283"/>
    </row>
    <row r="2" spans="1:9" x14ac:dyDescent="0.45">
      <c r="A2" s="169" t="s">
        <v>5</v>
      </c>
      <c r="B2" s="169" t="s">
        <v>1724</v>
      </c>
      <c r="C2" s="169" t="s">
        <v>1725</v>
      </c>
      <c r="D2" s="169" t="s">
        <v>1726</v>
      </c>
      <c r="E2" s="169" t="s">
        <v>1727</v>
      </c>
      <c r="F2" s="169" t="s">
        <v>1728</v>
      </c>
      <c r="G2" s="169" t="s">
        <v>1729</v>
      </c>
      <c r="H2" s="169" t="s">
        <v>1730</v>
      </c>
      <c r="I2" s="169" t="s">
        <v>1731</v>
      </c>
    </row>
    <row r="3" spans="1:9" ht="36" x14ac:dyDescent="0.45">
      <c r="A3" s="170" t="s">
        <v>21</v>
      </c>
      <c r="B3" s="145" cm="1">
        <f t="array" ref="B3">SUMPRODUCT(--ISNUMBER(SEARCH(", MAScIR, ", ", "&amp;'📋 Inventaire Complet'!$F$3:$F$517&amp;", ")),--('📋 Inventaire Complet'!$D$3:$D$517&lt;&gt;""))</f>
        <v>193</v>
      </c>
      <c r="C3" s="146" cm="1">
        <f t="array" ref="C3">SUMPRODUCT(--ISNUMBER(SEARCH(", MAScIR, ", ", "&amp;'📋 Inventaire Complet'!$F$3:$F$517&amp;", ")),--('📋 Inventaire Complet'!$D$3:$D$517&lt;&gt;""),--ISNUMBER(SEARCH("Délivré",'📋 Inventaire Complet'!$L$3:$L$517)))</f>
        <v>0</v>
      </c>
      <c r="D3" s="147" cm="1">
        <f t="array" ref="D3">SUMPRODUCT(--ISNUMBER(SEARCH(", MAScIR, ", ", "&amp;'📋 Inventaire Complet'!$F$3:$F$517&amp;", ")),--('📋 Inventaire Complet'!$D$3:$D$517&lt;&gt;""),--ISNUMBER(SEARCH("Maintenu",'📋 Inventaire Complet'!$L$3:$L$517)))</f>
        <v>116</v>
      </c>
      <c r="E3" s="148" cm="1">
        <f t="array" ref="E3">SUMPRODUCT(--ISNUMBER(SEARCH(", MAScIR, ", ", "&amp;'📋 Inventaire Complet'!$F$3:$F$517&amp;", ")),--('📋 Inventaire Complet'!$D$3:$D$517&lt;&gt;""),--ISNUMBER(SEARCH("PCT",'📋 Inventaire Complet'!$L$3:$L$517)))</f>
        <v>0</v>
      </c>
      <c r="F3" s="150" cm="1">
        <f t="array" ref="F3">SUMPRODUCT(--ISNUMBER(SEARCH(", MAScIR, ", ", "&amp;'📋 Inventaire Complet'!$F$3:$F$517&amp;", ")),--('📋 Inventaire Complet'!$D$3:$D$517&lt;&gt;""),--(ISNUMBER(SEARCH("Abandonné",'📋 Inventaire Complet'!$L$3:$L$517))+ISNUMBER(SEARCH("Rejeté",'📋 Inventaire Complet'!$L$3:$L$517))))</f>
        <v>8</v>
      </c>
      <c r="G3" s="3" t="s">
        <v>2265</v>
      </c>
      <c r="H3" s="3" t="s">
        <v>2266</v>
      </c>
      <c r="I3" s="171" t="s">
        <v>2267</v>
      </c>
    </row>
    <row r="4" spans="1:9" ht="36" x14ac:dyDescent="0.45">
      <c r="A4" s="170" t="s">
        <v>1912</v>
      </c>
      <c r="B4" s="145" cm="1">
        <f t="array" ref="B4">SUMPRODUCT(--ISNUMBER(SEARCH(", OCP / CERPHOS (historique), ", ", "&amp;'📋 Inventaire Complet'!$F$3:$F$517&amp;", ")),--('📋 Inventaire Complet'!$D$3:$D$517&lt;&gt;""))</f>
        <v>92</v>
      </c>
      <c r="C4" s="146" cm="1">
        <f t="array" ref="C4">SUMPRODUCT(--ISNUMBER(SEARCH(", OCP / CERPHOS (historique), ", ", "&amp;'📋 Inventaire Complet'!$F$3:$F$517&amp;", ")),--('📋 Inventaire Complet'!$D$3:$D$517&lt;&gt;""),--ISNUMBER(SEARCH("Délivré",'📋 Inventaire Complet'!$L$3:$L$517)))</f>
        <v>51</v>
      </c>
      <c r="D4" s="147" cm="1">
        <f t="array" ref="D4">SUMPRODUCT(--ISNUMBER(SEARCH(", OCP / CERPHOS (historique), ", ", "&amp;'📋 Inventaire Complet'!$F$3:$F$517&amp;", ")),--('📋 Inventaire Complet'!$D$3:$D$517&lt;&gt;""),--ISNUMBER(SEARCH("Maintenu",'📋 Inventaire Complet'!$L$3:$L$517)))</f>
        <v>0</v>
      </c>
      <c r="E4" s="148" cm="1">
        <f t="array" ref="E4">SUMPRODUCT(--ISNUMBER(SEARCH(", OCP / CERPHOS (historique), ", ", "&amp;'📋 Inventaire Complet'!$F$3:$F$517&amp;", ")),--('📋 Inventaire Complet'!$D$3:$D$517&lt;&gt;""),--ISNUMBER(SEARCH("PCT",'📋 Inventaire Complet'!$L$3:$L$517)))</f>
        <v>3</v>
      </c>
      <c r="F4" s="150" cm="1">
        <f t="array" ref="F4">SUMPRODUCT(--ISNUMBER(SEARCH(", OCP / CERPHOS (historique), ", ", "&amp;'📋 Inventaire Complet'!$F$3:$F$517&amp;", ")),--('📋 Inventaire Complet'!$D$3:$D$517&lt;&gt;""),--(ISNUMBER(SEARCH("Abandonné",'📋 Inventaire Complet'!$L$3:$L$517))+ISNUMBER(SEARCH("Rejeté",'📋 Inventaire Complet'!$L$3:$L$517))))</f>
        <v>32</v>
      </c>
      <c r="G4" s="3" t="s">
        <v>2268</v>
      </c>
      <c r="H4" s="3" t="s">
        <v>2269</v>
      </c>
      <c r="I4" s="171" t="s">
        <v>291</v>
      </c>
    </row>
    <row r="5" spans="1:9" x14ac:dyDescent="0.45">
      <c r="A5" s="170" t="s">
        <v>874</v>
      </c>
      <c r="B5" s="145" cm="1">
        <f t="array" ref="B5">SUMPRODUCT(--ISNUMBER(SEARCH(", MSN, ", ", "&amp;'📋 Inventaire Complet'!$F$3:$F$517&amp;", ")),--('📋 Inventaire Complet'!$D$3:$D$517&lt;&gt;""))</f>
        <v>32</v>
      </c>
      <c r="C5" s="146" cm="1">
        <f t="array" ref="C5">SUMPRODUCT(--ISNUMBER(SEARCH(", MSN, ", ", "&amp;'📋 Inventaire Complet'!$F$3:$F$517&amp;", ")),--('📋 Inventaire Complet'!$D$3:$D$517&lt;&gt;""),--ISNUMBER(SEARCH("Délivré",'📋 Inventaire Complet'!$L$3:$L$517)))</f>
        <v>0</v>
      </c>
      <c r="D5" s="147" cm="1">
        <f t="array" ref="D5">SUMPRODUCT(--ISNUMBER(SEARCH(", MSN, ", ", "&amp;'📋 Inventaire Complet'!$F$3:$F$517&amp;", ")),--('📋 Inventaire Complet'!$D$3:$D$517&lt;&gt;""),--ISNUMBER(SEARCH("Maintenu",'📋 Inventaire Complet'!$L$3:$L$517)))</f>
        <v>4</v>
      </c>
      <c r="E5" s="148" cm="1">
        <f t="array" ref="E5">SUMPRODUCT(--ISNUMBER(SEARCH(", MSN, ", ", "&amp;'📋 Inventaire Complet'!$F$3:$F$517&amp;", ")),--('📋 Inventaire Complet'!$D$3:$D$517&lt;&gt;""),--ISNUMBER(SEARCH("PCT",'📋 Inventaire Complet'!$L$3:$L$517)))</f>
        <v>5</v>
      </c>
      <c r="F5" s="150" cm="1">
        <f t="array" ref="F5">SUMPRODUCT(--ISNUMBER(SEARCH(", MSN,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5" s="3" t="s">
        <v>2270</v>
      </c>
      <c r="H5" s="3" t="s">
        <v>2271</v>
      </c>
      <c r="I5" s="171" t="s">
        <v>39</v>
      </c>
    </row>
    <row r="6" spans="1:9" x14ac:dyDescent="0.45">
      <c r="A6" s="170" t="s">
        <v>93</v>
      </c>
      <c r="B6" s="145" cm="1">
        <f t="array" ref="B6">SUMPRODUCT(--ISNUMBER(SEARCH(", CERPHOS (historique), ", ", "&amp;'📋 Inventaire Complet'!$F$3:$F$517&amp;", ")),--('📋 Inventaire Complet'!$D$3:$D$517&lt;&gt;""))</f>
        <v>24</v>
      </c>
      <c r="C6" s="146" cm="1">
        <f t="array" ref="C6">SUMPRODUCT(--ISNUMBER(SEARCH(", CERPHOS (historique), ", ", "&amp;'📋 Inventaire Complet'!$F$3:$F$517&amp;", ")),--('📋 Inventaire Complet'!$D$3:$D$517&lt;&gt;""),--ISNUMBER(SEARCH("Délivré",'📋 Inventaire Complet'!$L$3:$L$517)))</f>
        <v>0</v>
      </c>
      <c r="D6" s="147" cm="1">
        <f t="array" ref="D6">SUMPRODUCT(--ISNUMBER(SEARCH(", CERPHOS (historique), ", ", "&amp;'📋 Inventaire Complet'!$F$3:$F$517&amp;", ")),--('📋 Inventaire Complet'!$D$3:$D$517&lt;&gt;""),--ISNUMBER(SEARCH("Maintenu",'📋 Inventaire Complet'!$L$3:$L$517)))</f>
        <v>0</v>
      </c>
      <c r="E6" s="148" cm="1">
        <f t="array" ref="E6">SUMPRODUCT(--ISNUMBER(SEARCH(", CERPHOS (historique), ", ", "&amp;'📋 Inventaire Complet'!$F$3:$F$517&amp;", ")),--('📋 Inventaire Complet'!$D$3:$D$517&lt;&gt;""),--ISNUMBER(SEARCH("PCT",'📋 Inventaire Complet'!$L$3:$L$517)))</f>
        <v>0</v>
      </c>
      <c r="F6" s="150" cm="1">
        <f t="array" ref="F6">SUMPRODUCT(--ISNUMBER(SEARCH(", CERPHOS (historique), ", ", "&amp;'📋 Inventaire Complet'!$F$3:$F$517&amp;", ")),--('📋 Inventaire Complet'!$D$3:$D$517&lt;&gt;""),--(ISNUMBER(SEARCH("Abandonné",'📋 Inventaire Complet'!$L$3:$L$517))+ISNUMBER(SEARCH("Rejeté",'📋 Inventaire Complet'!$L$3:$L$517))))</f>
        <v>7</v>
      </c>
      <c r="G6" s="3" t="s">
        <v>2272</v>
      </c>
      <c r="H6" s="3" t="s">
        <v>2273</v>
      </c>
      <c r="I6" s="171" t="s">
        <v>95</v>
      </c>
    </row>
    <row r="7" spans="1:9" ht="36" x14ac:dyDescent="0.45">
      <c r="A7" s="170" t="s">
        <v>413</v>
      </c>
      <c r="B7" s="145" cm="1">
        <f t="array" ref="B7">SUMPRODUCT(--ISNUMBER(SEARCH(", ACER CoE, ", ", "&amp;'📋 Inventaire Complet'!$F$3:$F$517&amp;", ")),--('📋 Inventaire Complet'!$D$3:$D$517&lt;&gt;""))</f>
        <v>11</v>
      </c>
      <c r="C7" s="146" cm="1">
        <f t="array" ref="C7">SUMPRODUCT(--ISNUMBER(SEARCH(", ACER CoE, ", ", "&amp;'📋 Inventaire Complet'!$F$3:$F$517&amp;", ")),--('📋 Inventaire Complet'!$D$3:$D$517&lt;&gt;""),--ISNUMBER(SEARCH("Délivré",'📋 Inventaire Complet'!$L$3:$L$517)))</f>
        <v>0</v>
      </c>
      <c r="D7" s="147" cm="1">
        <f t="array" ref="D7">SUMPRODUCT(--ISNUMBER(SEARCH(", ACER CoE, ", ", "&amp;'📋 Inventaire Complet'!$F$3:$F$517&amp;", ")),--('📋 Inventaire Complet'!$D$3:$D$517&lt;&gt;""),--ISNUMBER(SEARCH("Maintenu",'📋 Inventaire Complet'!$L$3:$L$517)))</f>
        <v>0</v>
      </c>
      <c r="E7" s="148" cm="1">
        <f t="array" ref="E7">SUMPRODUCT(--ISNUMBER(SEARCH(", ACER CoE, ", ", "&amp;'📋 Inventaire Complet'!$F$3:$F$517&amp;", ")),--('📋 Inventaire Complet'!$D$3:$D$517&lt;&gt;""),--ISNUMBER(SEARCH("PCT",'📋 Inventaire Complet'!$L$3:$L$517)))</f>
        <v>3</v>
      </c>
      <c r="F7" s="150" cm="1">
        <f t="array" ref="F7">SUMPRODUCT(--ISNUMBER(SEARCH(", ACER CoE,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7" s="3" t="s">
        <v>2274</v>
      </c>
      <c r="H7" s="3" t="s">
        <v>2275</v>
      </c>
      <c r="I7" s="171" t="s">
        <v>39</v>
      </c>
    </row>
    <row r="8" spans="1:9" x14ac:dyDescent="0.45">
      <c r="A8" s="170" t="s">
        <v>419</v>
      </c>
      <c r="B8" s="145" cm="1">
        <f t="array" ref="B8">SUMPRODUCT(--ISNUMBER(SEARCH(", ASARI, ", ", "&amp;'📋 Inventaire Complet'!$F$3:$F$517&amp;", ")),--('📋 Inventaire Complet'!$D$3:$D$517&lt;&gt;""))</f>
        <v>7</v>
      </c>
      <c r="C8" s="146" cm="1">
        <f t="array" ref="C8">SUMPRODUCT(--ISNUMBER(SEARCH(", ASARI, ", ", "&amp;'📋 Inventaire Complet'!$F$3:$F$517&amp;", ")),--('📋 Inventaire Complet'!$D$3:$D$517&lt;&gt;""),--ISNUMBER(SEARCH("Délivré",'📋 Inventaire Complet'!$L$3:$L$517)))</f>
        <v>0</v>
      </c>
      <c r="D8" s="147" cm="1">
        <f t="array" ref="D8">SUMPRODUCT(--ISNUMBER(SEARCH(", ASARI, ", ", "&amp;'📋 Inventaire Complet'!$F$3:$F$517&amp;", ")),--('📋 Inventaire Complet'!$D$3:$D$517&lt;&gt;""),--ISNUMBER(SEARCH("Maintenu",'📋 Inventaire Complet'!$L$3:$L$517)))</f>
        <v>0</v>
      </c>
      <c r="E8" s="148" cm="1">
        <f t="array" ref="E8">SUMPRODUCT(--ISNUMBER(SEARCH(", ASARI, ", ", "&amp;'📋 Inventaire Complet'!$F$3:$F$517&amp;", ")),--('📋 Inventaire Complet'!$D$3:$D$517&lt;&gt;""),--ISNUMBER(SEARCH("PCT",'📋 Inventaire Complet'!$L$3:$L$517)))</f>
        <v>3</v>
      </c>
      <c r="F8" s="150" cm="1">
        <f t="array" ref="F8">SUMPRODUCT(--ISNUMBER(SEARCH(", ASARI,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8" s="3" t="s">
        <v>2276</v>
      </c>
      <c r="H8" s="3" t="s">
        <v>2277</v>
      </c>
      <c r="I8" s="171" t="s">
        <v>39</v>
      </c>
    </row>
    <row r="9" spans="1:9" x14ac:dyDescent="0.45">
      <c r="A9" s="170" t="s">
        <v>76</v>
      </c>
      <c r="B9" s="145" cm="1">
        <f t="array" ref="B9">SUMPRODUCT(--ISNUMBER(SEARCH(", CBS, ", ", "&amp;'📋 Inventaire Complet'!$F$3:$F$517&amp;", ")),--('📋 Inventaire Complet'!$D$3:$D$517&lt;&gt;""))</f>
        <v>7</v>
      </c>
      <c r="C9" s="146" cm="1">
        <f t="array" ref="C9">SUMPRODUCT(--ISNUMBER(SEARCH(", CBS, ", ", "&amp;'📋 Inventaire Complet'!$F$3:$F$517&amp;", ")),--('📋 Inventaire Complet'!$D$3:$D$517&lt;&gt;""),--ISNUMBER(SEARCH("Délivré",'📋 Inventaire Complet'!$L$3:$L$517)))</f>
        <v>0</v>
      </c>
      <c r="D9" s="147" cm="1">
        <f t="array" ref="D9">SUMPRODUCT(--ISNUMBER(SEARCH(", CBS, ", ", "&amp;'📋 Inventaire Complet'!$F$3:$F$517&amp;", ")),--('📋 Inventaire Complet'!$D$3:$D$517&lt;&gt;""),--ISNUMBER(SEARCH("Maintenu",'📋 Inventaire Complet'!$L$3:$L$517)))</f>
        <v>0</v>
      </c>
      <c r="E9" s="148" cm="1">
        <f t="array" ref="E9">SUMPRODUCT(--ISNUMBER(SEARCH(", CBS, ", ", "&amp;'📋 Inventaire Complet'!$F$3:$F$517&amp;", ")),--('📋 Inventaire Complet'!$D$3:$D$517&lt;&gt;""),--ISNUMBER(SEARCH("PCT",'📋 Inventaire Complet'!$L$3:$L$517)))</f>
        <v>2</v>
      </c>
      <c r="F9" s="150" cm="1">
        <f t="array" ref="F9">SUMPRODUCT(--ISNUMBER(SEARCH(", CBS,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9" s="3" t="s">
        <v>2278</v>
      </c>
      <c r="H9" s="3" t="s">
        <v>2279</v>
      </c>
      <c r="I9" s="171" t="s">
        <v>39</v>
      </c>
    </row>
    <row r="10" spans="1:9" x14ac:dyDescent="0.45">
      <c r="A10" s="170" t="s">
        <v>103</v>
      </c>
      <c r="B10" s="145" cm="1">
        <f t="array" ref="B10">SUMPRODUCT(--ISNUMBER(SEARCH(", GTI, ", ", "&amp;'📋 Inventaire Complet'!$F$3:$F$517&amp;", ")),--('📋 Inventaire Complet'!$D$3:$D$517&lt;&gt;""))</f>
        <v>4</v>
      </c>
      <c r="C10" s="146" cm="1">
        <f t="array" ref="C10">SUMPRODUCT(--ISNUMBER(SEARCH(", GTI, ", ", "&amp;'📋 Inventaire Complet'!$F$3:$F$517&amp;", ")),--('📋 Inventaire Complet'!$D$3:$D$517&lt;&gt;""),--ISNUMBER(SEARCH("Délivré",'📋 Inventaire Complet'!$L$3:$L$517)))</f>
        <v>0</v>
      </c>
      <c r="D10" s="147" cm="1">
        <f t="array" ref="D10">SUMPRODUCT(--ISNUMBER(SEARCH(", GTI, ", ", "&amp;'📋 Inventaire Complet'!$F$3:$F$517&amp;", ")),--('📋 Inventaire Complet'!$D$3:$D$517&lt;&gt;""),--ISNUMBER(SEARCH("Maintenu",'📋 Inventaire Complet'!$L$3:$L$517)))</f>
        <v>0</v>
      </c>
      <c r="E10" s="148" cm="1">
        <f t="array" ref="E10">SUMPRODUCT(--ISNUMBER(SEARCH(", GTI, ", ", "&amp;'📋 Inventaire Complet'!$F$3:$F$517&amp;", ")),--('📋 Inventaire Complet'!$D$3:$D$517&lt;&gt;""),--ISNUMBER(SEARCH("PCT",'📋 Inventaire Complet'!$L$3:$L$517)))</f>
        <v>3</v>
      </c>
      <c r="F10" s="150" cm="1">
        <f t="array" ref="F10">SUMPRODUCT(--ISNUMBER(SEARCH(", GTI,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0" s="3" t="s">
        <v>2280</v>
      </c>
      <c r="H10" s="3" t="s">
        <v>2281</v>
      </c>
      <c r="I10" s="171" t="s">
        <v>39</v>
      </c>
    </row>
    <row r="11" spans="1:9" x14ac:dyDescent="0.45">
      <c r="A11" s="170" t="s">
        <v>1019</v>
      </c>
      <c r="B11" s="145" cm="1">
        <f t="array" ref="B11">SUMPRODUCT(--ISNUMBER(SEARCH(", GSMI, ", ", "&amp;'📋 Inventaire Complet'!$F$3:$F$517&amp;", ")),--('📋 Inventaire Complet'!$D$3:$D$517&lt;&gt;""))</f>
        <v>4</v>
      </c>
      <c r="C11" s="146" cm="1">
        <f t="array" ref="C11">SUMPRODUCT(--ISNUMBER(SEARCH(", GSMI, ", ", "&amp;'📋 Inventaire Complet'!$F$3:$F$517&amp;", ")),--('📋 Inventaire Complet'!$D$3:$D$517&lt;&gt;""),--ISNUMBER(SEARCH("Délivré",'📋 Inventaire Complet'!$L$3:$L$517)))</f>
        <v>0</v>
      </c>
      <c r="D11" s="147" cm="1">
        <f t="array" ref="D11">SUMPRODUCT(--ISNUMBER(SEARCH(", GSMI, ", ", "&amp;'📋 Inventaire Complet'!$F$3:$F$517&amp;", ")),--('📋 Inventaire Complet'!$D$3:$D$517&lt;&gt;""),--ISNUMBER(SEARCH("Maintenu",'📋 Inventaire Complet'!$L$3:$L$517)))</f>
        <v>0</v>
      </c>
      <c r="E11" s="148" cm="1">
        <f t="array" ref="E11">SUMPRODUCT(--ISNUMBER(SEARCH(", GSMI, ", ", "&amp;'📋 Inventaire Complet'!$F$3:$F$517&amp;", ")),--('📋 Inventaire Complet'!$D$3:$D$517&lt;&gt;""),--ISNUMBER(SEARCH("PCT",'📋 Inventaire Complet'!$L$3:$L$517)))</f>
        <v>2</v>
      </c>
      <c r="F11" s="150" cm="1">
        <f t="array" ref="F11">SUMPRODUCT(--ISNUMBER(SEARCH(", GSMI,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1" s="3" t="s">
        <v>2282</v>
      </c>
      <c r="H11" s="3" t="s">
        <v>2283</v>
      </c>
      <c r="I11" s="171" t="s">
        <v>39</v>
      </c>
    </row>
    <row r="12" spans="1:9" x14ac:dyDescent="0.45">
      <c r="A12" s="170" t="s">
        <v>1282</v>
      </c>
      <c r="B12" s="145" cm="1">
        <f t="array" ref="B12">SUMPRODUCT(--ISNUMBER(SEARCH(", LIMSET, ", ", "&amp;'📋 Inventaire Complet'!$F$3:$F$517&amp;", ")),--('📋 Inventaire Complet'!$D$3:$D$517&lt;&gt;""))</f>
        <v>4</v>
      </c>
      <c r="C12" s="146" cm="1">
        <f t="array" ref="C12">SUMPRODUCT(--ISNUMBER(SEARCH(", LIMSET, ", ", "&amp;'📋 Inventaire Complet'!$F$3:$F$517&amp;", ")),--('📋 Inventaire Complet'!$D$3:$D$517&lt;&gt;""),--ISNUMBER(SEARCH("Délivré",'📋 Inventaire Complet'!$L$3:$L$517)))</f>
        <v>0</v>
      </c>
      <c r="D12" s="147" cm="1">
        <f t="array" ref="D12">SUMPRODUCT(--ISNUMBER(SEARCH(", LIMSET, ", ", "&amp;'📋 Inventaire Complet'!$F$3:$F$517&amp;", ")),--('📋 Inventaire Complet'!$D$3:$D$517&lt;&gt;""),--ISNUMBER(SEARCH("Maintenu",'📋 Inventaire Complet'!$L$3:$L$517)))</f>
        <v>0</v>
      </c>
      <c r="E12" s="148" cm="1">
        <f t="array" ref="E12">SUMPRODUCT(--ISNUMBER(SEARCH(", LIMSET, ", ", "&amp;'📋 Inventaire Complet'!$F$3:$F$517&amp;", ")),--('📋 Inventaire Complet'!$D$3:$D$517&lt;&gt;""),--ISNUMBER(SEARCH("PCT",'📋 Inventaire Complet'!$L$3:$L$517)))</f>
        <v>2</v>
      </c>
      <c r="F12" s="150" cm="1">
        <f t="array" ref="F12">SUMPRODUCT(--ISNUMBER(SEARCH(", LIMSET,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2" s="3" t="s">
        <v>1732</v>
      </c>
      <c r="H12" s="3" t="s">
        <v>2284</v>
      </c>
      <c r="I12" s="171" t="s">
        <v>39</v>
      </c>
    </row>
    <row r="13" spans="1:9" x14ac:dyDescent="0.45">
      <c r="A13" s="170" t="s">
        <v>180</v>
      </c>
      <c r="B13" s="145" cm="1">
        <f t="array" ref="B13">SUMPRODUCT(--ISNUMBER(SEARCH(", DICE, ", ", "&amp;'📋 Inventaire Complet'!$F$3:$F$517&amp;", ")),--('📋 Inventaire Complet'!$D$3:$D$517&lt;&gt;""))</f>
        <v>3</v>
      </c>
      <c r="C13" s="146" cm="1">
        <f t="array" ref="C13">SUMPRODUCT(--ISNUMBER(SEARCH(", DICE, ", ", "&amp;'📋 Inventaire Complet'!$F$3:$F$517&amp;", ")),--('📋 Inventaire Complet'!$D$3:$D$517&lt;&gt;""),--ISNUMBER(SEARCH("Délivré",'📋 Inventaire Complet'!$L$3:$L$517)))</f>
        <v>0</v>
      </c>
      <c r="D13" s="147" cm="1">
        <f t="array" ref="D13">SUMPRODUCT(--ISNUMBER(SEARCH(", DICE, ", ", "&amp;'📋 Inventaire Complet'!$F$3:$F$517&amp;", ")),--('📋 Inventaire Complet'!$D$3:$D$517&lt;&gt;""),--ISNUMBER(SEARCH("Maintenu",'📋 Inventaire Complet'!$L$3:$L$517)))</f>
        <v>0</v>
      </c>
      <c r="E13" s="148" cm="1">
        <f t="array" ref="E13">SUMPRODUCT(--ISNUMBER(SEARCH(", DICE, ", ", "&amp;'📋 Inventaire Complet'!$F$3:$F$517&amp;", ")),--('📋 Inventaire Complet'!$D$3:$D$517&lt;&gt;""),--ISNUMBER(SEARCH("PCT",'📋 Inventaire Complet'!$L$3:$L$517)))</f>
        <v>2</v>
      </c>
      <c r="F13" s="150" cm="1">
        <f t="array" ref="F13">SUMPRODUCT(--ISNUMBER(SEARCH(", DICE,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3" s="3" t="s">
        <v>19</v>
      </c>
      <c r="H13" s="3" t="s">
        <v>2285</v>
      </c>
      <c r="I13" s="171" t="s">
        <v>39</v>
      </c>
    </row>
    <row r="14" spans="1:9" x14ac:dyDescent="0.45">
      <c r="A14" s="170" t="s">
        <v>466</v>
      </c>
      <c r="B14" s="145" cm="1">
        <f t="array" ref="B14">SUMPRODUCT(--ISNUMBER(SEARCH(", TechCell, ", ", "&amp;'📋 Inventaire Complet'!$F$3:$F$517&amp;", ")),--('📋 Inventaire Complet'!$D$3:$D$517&lt;&gt;""))</f>
        <v>3</v>
      </c>
      <c r="C14" s="146" cm="1">
        <f t="array" ref="C14">SUMPRODUCT(--ISNUMBER(SEARCH(", TechCell, ", ", "&amp;'📋 Inventaire Complet'!$F$3:$F$517&amp;", ")),--('📋 Inventaire Complet'!$D$3:$D$517&lt;&gt;""),--ISNUMBER(SEARCH("Délivré",'📋 Inventaire Complet'!$L$3:$L$517)))</f>
        <v>0</v>
      </c>
      <c r="D14" s="147" cm="1">
        <f t="array" ref="D14">SUMPRODUCT(--ISNUMBER(SEARCH(", TechCell, ", ", "&amp;'📋 Inventaire Complet'!$F$3:$F$517&amp;", ")),--('📋 Inventaire Complet'!$D$3:$D$517&lt;&gt;""),--ISNUMBER(SEARCH("Maintenu",'📋 Inventaire Complet'!$L$3:$L$517)))</f>
        <v>0</v>
      </c>
      <c r="E14" s="148" cm="1">
        <f t="array" ref="E14">SUMPRODUCT(--ISNUMBER(SEARCH(", TechCell, ", ", "&amp;'📋 Inventaire Complet'!$F$3:$F$517&amp;", ")),--('📋 Inventaire Complet'!$D$3:$D$517&lt;&gt;""),--ISNUMBER(SEARCH("PCT",'📋 Inventaire Complet'!$L$3:$L$517)))</f>
        <v>1</v>
      </c>
      <c r="F14" s="150" cm="1">
        <f t="array" ref="F14">SUMPRODUCT(--ISNUMBER(SEARCH(", TechCell,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4" s="3" t="s">
        <v>2286</v>
      </c>
      <c r="H14" s="3" t="s">
        <v>2287</v>
      </c>
      <c r="I14" s="171" t="s">
        <v>39</v>
      </c>
    </row>
    <row r="15" spans="1:9" x14ac:dyDescent="0.45">
      <c r="A15" s="170" t="s">
        <v>475</v>
      </c>
      <c r="B15" s="145" cm="1">
        <f t="array" ref="B15">SUMPRODUCT(--ISNUMBER(SEARCH(", Al-Moutmir, ", ", "&amp;'📋 Inventaire Complet'!$F$3:$F$517&amp;", ")),--('📋 Inventaire Complet'!$D$3:$D$517&lt;&gt;""))</f>
        <v>2</v>
      </c>
      <c r="C15" s="146" cm="1">
        <f t="array" ref="C15">SUMPRODUCT(--ISNUMBER(SEARCH(", Al-Moutmir, ", ", "&amp;'📋 Inventaire Complet'!$F$3:$F$517&amp;", ")),--('📋 Inventaire Complet'!$D$3:$D$517&lt;&gt;""),--ISNUMBER(SEARCH("Délivré",'📋 Inventaire Complet'!$L$3:$L$517)))</f>
        <v>0</v>
      </c>
      <c r="D15" s="147" cm="1">
        <f t="array" ref="D15">SUMPRODUCT(--ISNUMBER(SEARCH(", Al-Moutmir, ", ", "&amp;'📋 Inventaire Complet'!$F$3:$F$517&amp;", ")),--('📋 Inventaire Complet'!$D$3:$D$517&lt;&gt;""),--ISNUMBER(SEARCH("Maintenu",'📋 Inventaire Complet'!$L$3:$L$517)))</f>
        <v>0</v>
      </c>
      <c r="E15" s="148" cm="1">
        <f t="array" ref="E15">SUMPRODUCT(--ISNUMBER(SEARCH(", Al-Moutmir, ", ", "&amp;'📋 Inventaire Complet'!$F$3:$F$517&amp;", ")),--('📋 Inventaire Complet'!$D$3:$D$517&lt;&gt;""),--ISNUMBER(SEARCH("PCT",'📋 Inventaire Complet'!$L$3:$L$517)))</f>
        <v>0</v>
      </c>
      <c r="F15" s="150" cm="1">
        <f t="array" ref="F15">SUMPRODUCT(--ISNUMBER(SEARCH(", Al-Moutmir,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5" s="3" t="s">
        <v>19</v>
      </c>
      <c r="H15" s="3" t="s">
        <v>1827</v>
      </c>
      <c r="I15" s="171" t="s">
        <v>39</v>
      </c>
    </row>
    <row r="16" spans="1:9" x14ac:dyDescent="0.45">
      <c r="A16" s="170" t="s">
        <v>170</v>
      </c>
      <c r="B16" s="145" cm="1">
        <f t="array" ref="B16">SUMPRODUCT(--ISNUMBER(SEARCH(", ILO, ", ", "&amp;'📋 Inventaire Complet'!$F$3:$F$517&amp;", ")),--('📋 Inventaire Complet'!$D$3:$D$517&lt;&gt;""))</f>
        <v>2</v>
      </c>
      <c r="C16" s="146" cm="1">
        <f t="array" ref="C16">SUMPRODUCT(--ISNUMBER(SEARCH(", ILO, ", ", "&amp;'📋 Inventaire Complet'!$F$3:$F$517&amp;", ")),--('📋 Inventaire Complet'!$D$3:$D$517&lt;&gt;""),--ISNUMBER(SEARCH("Délivré",'📋 Inventaire Complet'!$L$3:$L$517)))</f>
        <v>0</v>
      </c>
      <c r="D16" s="147" cm="1">
        <f t="array" ref="D16">SUMPRODUCT(--ISNUMBER(SEARCH(", ILO, ", ", "&amp;'📋 Inventaire Complet'!$F$3:$F$517&amp;", ")),--('📋 Inventaire Complet'!$D$3:$D$517&lt;&gt;""),--ISNUMBER(SEARCH("Maintenu",'📋 Inventaire Complet'!$L$3:$L$517)))</f>
        <v>0</v>
      </c>
      <c r="E16" s="148" cm="1">
        <f t="array" ref="E16">SUMPRODUCT(--ISNUMBER(SEARCH(", ILO, ", ", "&amp;'📋 Inventaire Complet'!$F$3:$F$517&amp;", ")),--('📋 Inventaire Complet'!$D$3:$D$517&lt;&gt;""),--ISNUMBER(SEARCH("PCT",'📋 Inventaire Complet'!$L$3:$L$517)))</f>
        <v>0</v>
      </c>
      <c r="F16" s="150" cm="1">
        <f t="array" ref="F16">SUMPRODUCT(--ISNUMBER(SEARCH(", ILO,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6" s="3" t="s">
        <v>19</v>
      </c>
      <c r="H16" s="3" t="s">
        <v>2288</v>
      </c>
      <c r="I16" s="171" t="s">
        <v>39</v>
      </c>
    </row>
    <row r="17" spans="1:9" x14ac:dyDescent="0.45">
      <c r="A17" s="170" t="s">
        <v>34</v>
      </c>
      <c r="B17" s="145" cm="1">
        <f t="array" ref="B17">SUMPRODUCT(--ISNUMBER(SEARCH(", D4R, ", ", "&amp;'📋 Inventaire Complet'!$F$3:$F$517&amp;", ")),--('📋 Inventaire Complet'!$D$3:$D$517&lt;&gt;""))</f>
        <v>1</v>
      </c>
      <c r="C17" s="146" cm="1">
        <f t="array" ref="C17">SUMPRODUCT(--ISNUMBER(SEARCH(", D4R, ", ", "&amp;'📋 Inventaire Complet'!$F$3:$F$517&amp;", ")),--('📋 Inventaire Complet'!$D$3:$D$517&lt;&gt;""),--ISNUMBER(SEARCH("Délivré",'📋 Inventaire Complet'!$L$3:$L$517)))</f>
        <v>0</v>
      </c>
      <c r="D17" s="147" cm="1">
        <f t="array" ref="D17">SUMPRODUCT(--ISNUMBER(SEARCH(", D4R, ", ", "&amp;'📋 Inventaire Complet'!$F$3:$F$517&amp;", ")),--('📋 Inventaire Complet'!$D$3:$D$517&lt;&gt;""),--ISNUMBER(SEARCH("Maintenu",'📋 Inventaire Complet'!$L$3:$L$517)))</f>
        <v>1</v>
      </c>
      <c r="E17" s="148" cm="1">
        <f t="array" ref="E17">SUMPRODUCT(--ISNUMBER(SEARCH(", D4R, ", ", "&amp;'📋 Inventaire Complet'!$F$3:$F$517&amp;", ")),--('📋 Inventaire Complet'!$D$3:$D$517&lt;&gt;""),--ISNUMBER(SEARCH("PCT",'📋 Inventaire Complet'!$L$3:$L$517)))</f>
        <v>0</v>
      </c>
      <c r="F17" s="150" cm="1">
        <f t="array" ref="F17">SUMPRODUCT(--ISNUMBER(SEARCH(", D4R,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7" s="3" t="s">
        <v>19</v>
      </c>
      <c r="H17" s="3" t="s">
        <v>1827</v>
      </c>
      <c r="I17" s="171" t="s">
        <v>39</v>
      </c>
    </row>
    <row r="18" spans="1:9" x14ac:dyDescent="0.45">
      <c r="A18" s="170" t="s">
        <v>913</v>
      </c>
      <c r="B18" s="145" cm="1">
        <f t="array" ref="B18">SUMPRODUCT(--ISNUMBER(SEARCH(", CEPH, ", ", "&amp;'📋 Inventaire Complet'!$F$3:$F$517&amp;", ")),--('📋 Inventaire Complet'!$D$3:$D$517&lt;&gt;""))</f>
        <v>1</v>
      </c>
      <c r="C18" s="146" cm="1">
        <f t="array" ref="C18">SUMPRODUCT(--ISNUMBER(SEARCH(", CEPH, ", ", "&amp;'📋 Inventaire Complet'!$F$3:$F$517&amp;", ")),--('📋 Inventaire Complet'!$D$3:$D$517&lt;&gt;""),--ISNUMBER(SEARCH("Délivré",'📋 Inventaire Complet'!$L$3:$L$517)))</f>
        <v>0</v>
      </c>
      <c r="D18" s="147" cm="1">
        <f t="array" ref="D18">SUMPRODUCT(--ISNUMBER(SEARCH(", CEPH, ", ", "&amp;'📋 Inventaire Complet'!$F$3:$F$517&amp;", ")),--('📋 Inventaire Complet'!$D$3:$D$517&lt;&gt;""),--ISNUMBER(SEARCH("Maintenu",'📋 Inventaire Complet'!$L$3:$L$517)))</f>
        <v>0</v>
      </c>
      <c r="E18" s="148" cm="1">
        <f t="array" ref="E18">SUMPRODUCT(--ISNUMBER(SEARCH(", CEPH, ", ", "&amp;'📋 Inventaire Complet'!$F$3:$F$517&amp;", ")),--('📋 Inventaire Complet'!$D$3:$D$517&lt;&gt;""),--ISNUMBER(SEARCH("PCT",'📋 Inventaire Complet'!$L$3:$L$517)))</f>
        <v>0</v>
      </c>
      <c r="F18" s="150" cm="1">
        <f t="array" ref="F18">SUMPRODUCT(--ISNUMBER(SEARCH(", CEPH,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8" s="3" t="s">
        <v>831</v>
      </c>
      <c r="H18" s="3" t="s">
        <v>2060</v>
      </c>
      <c r="I18" s="171" t="s">
        <v>39</v>
      </c>
    </row>
    <row r="19" spans="1:9" x14ac:dyDescent="0.45">
      <c r="A19" s="170" t="s">
        <v>1316</v>
      </c>
      <c r="B19" s="145" cm="1">
        <f t="array" ref="B19">SUMPRODUCT(--ISNUMBER(SEARCH(", ISTI, ", ", "&amp;'📋 Inventaire Complet'!$F$3:$F$517&amp;", ")),--('📋 Inventaire Complet'!$D$3:$D$517&lt;&gt;""))</f>
        <v>1</v>
      </c>
      <c r="C19" s="146" cm="1">
        <f t="array" ref="C19">SUMPRODUCT(--ISNUMBER(SEARCH(", ISTI, ", ", "&amp;'📋 Inventaire Complet'!$F$3:$F$517&amp;", ")),--('📋 Inventaire Complet'!$D$3:$D$517&lt;&gt;""),--ISNUMBER(SEARCH("Délivré",'📋 Inventaire Complet'!$L$3:$L$517)))</f>
        <v>0</v>
      </c>
      <c r="D19" s="147" cm="1">
        <f t="array" ref="D19">SUMPRODUCT(--ISNUMBER(SEARCH(", ISTI, ", ", "&amp;'📋 Inventaire Complet'!$F$3:$F$517&amp;", ")),--('📋 Inventaire Complet'!$D$3:$D$517&lt;&gt;""),--ISNUMBER(SEARCH("Maintenu",'📋 Inventaire Complet'!$L$3:$L$517)))</f>
        <v>0</v>
      </c>
      <c r="E19" s="148" cm="1">
        <f t="array" ref="E19">SUMPRODUCT(--ISNUMBER(SEARCH(", ISTI, ", ", "&amp;'📋 Inventaire Complet'!$F$3:$F$517&amp;", ")),--('📋 Inventaire Complet'!$D$3:$D$517&lt;&gt;""),--ISNUMBER(SEARCH("PCT",'📋 Inventaire Complet'!$L$3:$L$517)))</f>
        <v>0</v>
      </c>
      <c r="F19" s="150" cm="1">
        <f t="array" ref="F19">SUMPRODUCT(--ISNUMBER(SEARCH(", ISTI,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19" s="3" t="s">
        <v>1274</v>
      </c>
      <c r="H19" s="3" t="s">
        <v>2112</v>
      </c>
      <c r="I19" s="171" t="s">
        <v>39</v>
      </c>
    </row>
    <row r="20" spans="1:9" x14ac:dyDescent="0.45">
      <c r="A20" s="170" t="s">
        <v>1606</v>
      </c>
      <c r="B20" s="145" cm="1">
        <f t="array" ref="B20">SUMPRODUCT(--ISNUMBER(SEARCH(", COLCOM, ", ", "&amp;'📋 Inventaire Complet'!$F$3:$F$517&amp;", ")),--('📋 Inventaire Complet'!$D$3:$D$517&lt;&gt;""))</f>
        <v>1</v>
      </c>
      <c r="C20" s="146" cm="1">
        <f t="array" ref="C20">SUMPRODUCT(--ISNUMBER(SEARCH(", COLCOM, ", ", "&amp;'📋 Inventaire Complet'!$F$3:$F$517&amp;", ")),--('📋 Inventaire Complet'!$D$3:$D$517&lt;&gt;""),--ISNUMBER(SEARCH("Délivré",'📋 Inventaire Complet'!$L$3:$L$517)))</f>
        <v>0</v>
      </c>
      <c r="D20" s="147" cm="1">
        <f t="array" ref="D20">SUMPRODUCT(--ISNUMBER(SEARCH(", COLCOM, ", ", "&amp;'📋 Inventaire Complet'!$F$3:$F$517&amp;", ")),--('📋 Inventaire Complet'!$D$3:$D$517&lt;&gt;""),--ISNUMBER(SEARCH("Maintenu",'📋 Inventaire Complet'!$L$3:$L$517)))</f>
        <v>0</v>
      </c>
      <c r="E20" s="148" cm="1">
        <f t="array" ref="E20">SUMPRODUCT(--ISNUMBER(SEARCH(", COLCOM, ", ", "&amp;'📋 Inventaire Complet'!$F$3:$F$517&amp;", ")),--('📋 Inventaire Complet'!$D$3:$D$517&lt;&gt;""),--ISNUMBER(SEARCH("PCT",'📋 Inventaire Complet'!$L$3:$L$517)))</f>
        <v>0</v>
      </c>
      <c r="F20" s="150" cm="1">
        <f t="array" ref="F20">SUMPRODUCT(--ISNUMBER(SEARCH(", COLCOM,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20" s="3" t="s">
        <v>1451</v>
      </c>
      <c r="H20" s="3" t="s">
        <v>2140</v>
      </c>
      <c r="I20" s="171" t="s">
        <v>39</v>
      </c>
    </row>
    <row r="21" spans="1:9" ht="19" thickBot="1" x14ac:dyDescent="0.5">
      <c r="A21" s="172" t="s">
        <v>1697</v>
      </c>
      <c r="B21" s="151" cm="1">
        <f t="array" ref="B21">SUMPRODUCT(--ISNUMBER(SEARCH(", HTMR, ", ", "&amp;'📋 Inventaire Complet'!$F$3:$F$517&amp;", ")),--('📋 Inventaire Complet'!$D$3:$D$517&lt;&gt;""))</f>
        <v>1</v>
      </c>
      <c r="C21" s="152" cm="1">
        <f t="array" ref="C21">SUMPRODUCT(--ISNUMBER(SEARCH(", HTMR, ", ", "&amp;'📋 Inventaire Complet'!$F$3:$F$517&amp;", ")),--('📋 Inventaire Complet'!$D$3:$D$517&lt;&gt;""),--ISNUMBER(SEARCH("Délivré",'📋 Inventaire Complet'!$L$3:$L$517)))</f>
        <v>0</v>
      </c>
      <c r="D21" s="153" cm="1">
        <f t="array" ref="D21">SUMPRODUCT(--ISNUMBER(SEARCH(", HTMR, ", ", "&amp;'📋 Inventaire Complet'!$F$3:$F$517&amp;", ")),--('📋 Inventaire Complet'!$D$3:$D$517&lt;&gt;""),--ISNUMBER(SEARCH("Maintenu",'📋 Inventaire Complet'!$L$3:$L$517)))</f>
        <v>0</v>
      </c>
      <c r="E21" s="154" cm="1">
        <f t="array" ref="E21">SUMPRODUCT(--ISNUMBER(SEARCH(", HTMR, ", ", "&amp;'📋 Inventaire Complet'!$F$3:$F$517&amp;", ")),--('📋 Inventaire Complet'!$D$3:$D$517&lt;&gt;""),--ISNUMBER(SEARCH("PCT",'📋 Inventaire Complet'!$L$3:$L$517)))</f>
        <v>0</v>
      </c>
      <c r="F21" s="156" cm="1">
        <f t="array" ref="F21">SUMPRODUCT(--ISNUMBER(SEARCH(", HTMR, ", ", "&amp;'📋 Inventaire Complet'!$F$3:$F$517&amp;", ")),--('📋 Inventaire Complet'!$D$3:$D$517&lt;&gt;""),--(ISNUMBER(SEARCH("Abandonné",'📋 Inventaire Complet'!$L$3:$L$517))+ISNUMBER(SEARCH("Rejeté",'📋 Inventaire Complet'!$L$3:$L$517))))</f>
        <v>0</v>
      </c>
      <c r="G21" s="5" t="s">
        <v>1617</v>
      </c>
      <c r="H21" s="5" t="s">
        <v>2217</v>
      </c>
      <c r="I21" s="173" t="s">
        <v>39</v>
      </c>
    </row>
    <row r="22" spans="1:9" x14ac:dyDescent="0.45">
      <c r="A22" s="122" t="s">
        <v>1723</v>
      </c>
      <c r="B22" s="123" cm="1">
        <f t="array" ref="B22">SUMPRODUCT(--('📋 Inventaire Complet'!$D$3:$D$517&lt;&gt;""),--('📋 Inventaire Complet'!$F$3:$F$517&lt;&gt;""))</f>
        <v>393</v>
      </c>
      <c r="C22" s="124" cm="1">
        <f t="array" ref="C22">SUMPRODUCT(--('📋 Inventaire Complet'!$D$3:$D$517&lt;&gt;""),--('📋 Inventaire Complet'!$F$3:$F$517&lt;&gt;""),--ISNUMBER(SEARCH("Délivré",'📋 Inventaire Complet'!$L$3:$L$517)))</f>
        <v>51</v>
      </c>
      <c r="D22" s="125" cm="1">
        <f t="array" ref="D22">SUMPRODUCT(--('📋 Inventaire Complet'!$D$3:$D$517&lt;&gt;""),--('📋 Inventaire Complet'!$F$3:$F$517&lt;&gt;""),--ISNUMBER(SEARCH("Maintenu",'📋 Inventaire Complet'!$L$3:$L$517)))</f>
        <v>121</v>
      </c>
      <c r="E22" s="126" cm="1">
        <f t="array" ref="E22">SUMPRODUCT(--('📋 Inventaire Complet'!$D$3:$D$517&lt;&gt;""),--('📋 Inventaire Complet'!$F$3:$F$517&lt;&gt;""),--ISNUMBER(SEARCH("PCT",'📋 Inventaire Complet'!$L$3:$L$517)))</f>
        <v>26</v>
      </c>
      <c r="F22" s="127" cm="1">
        <f t="array" ref="F22">SUMPRODUCT(--('📋 Inventaire Complet'!$D$3:$D$517&lt;&gt;""),--('📋 Inventaire Complet'!$F$3:$F$517&lt;&gt;""),--(ISNUMBER(SEARCH("Abandonné",'📋 Inventaire Complet'!$L$3:$L$517))+ISNUMBER(SEARCH("Rejeté",'📋 Inventaire Complet'!$L$3:$L$517))))</f>
        <v>47</v>
      </c>
      <c r="G22" s="128" t="s">
        <v>1733</v>
      </c>
      <c r="H22" s="174" t="s">
        <v>1734</v>
      </c>
      <c r="I22" s="174" t="s">
        <v>1734</v>
      </c>
    </row>
    <row r="23" spans="1:9" x14ac:dyDescent="0.45">
      <c r="A23"/>
      <c r="B23"/>
      <c r="C23"/>
      <c r="D23"/>
      <c r="E23"/>
      <c r="F23"/>
      <c r="G23"/>
      <c r="H23"/>
      <c r="I23"/>
    </row>
    <row r="24" spans="1:9" x14ac:dyDescent="0.45">
      <c r="A24"/>
      <c r="B24"/>
      <c r="C24"/>
      <c r="D24"/>
      <c r="E24"/>
      <c r="F24"/>
      <c r="G24"/>
      <c r="H24"/>
      <c r="I24"/>
    </row>
    <row r="25" spans="1:9" x14ac:dyDescent="0.45">
      <c r="A25"/>
      <c r="B25"/>
      <c r="C25"/>
      <c r="D25"/>
      <c r="E25"/>
      <c r="F25"/>
      <c r="G25"/>
      <c r="H25"/>
      <c r="I25"/>
    </row>
    <row r="26" spans="1:9" x14ac:dyDescent="0.45">
      <c r="A26"/>
      <c r="B26"/>
      <c r="C26"/>
      <c r="D26"/>
      <c r="E26"/>
      <c r="F26"/>
      <c r="G26"/>
      <c r="H26"/>
      <c r="I26"/>
    </row>
    <row r="27" spans="1:9" x14ac:dyDescent="0.45">
      <c r="A27"/>
      <c r="B27"/>
      <c r="C27"/>
      <c r="D27"/>
      <c r="E27"/>
      <c r="F27"/>
      <c r="G27"/>
      <c r="H27"/>
      <c r="I27"/>
    </row>
    <row r="28" spans="1:9" x14ac:dyDescent="0.45">
      <c r="A28"/>
      <c r="B28"/>
      <c r="C28"/>
      <c r="D28"/>
      <c r="E28"/>
      <c r="F28"/>
      <c r="G28"/>
      <c r="H28"/>
      <c r="I28"/>
    </row>
    <row r="29" spans="1:9" x14ac:dyDescent="0.45">
      <c r="A29"/>
      <c r="B29"/>
      <c r="C29"/>
      <c r="D29"/>
      <c r="E29"/>
      <c r="F29"/>
      <c r="G29"/>
      <c r="H29"/>
      <c r="I29"/>
    </row>
    <row r="30" spans="1:9" x14ac:dyDescent="0.45">
      <c r="A30"/>
      <c r="B30"/>
      <c r="C30"/>
      <c r="D30"/>
      <c r="E30"/>
      <c r="F30"/>
      <c r="G30"/>
      <c r="H30"/>
      <c r="I30"/>
    </row>
    <row r="31" spans="1:9" x14ac:dyDescent="0.45">
      <c r="A31"/>
      <c r="B31"/>
      <c r="C31"/>
      <c r="D31"/>
      <c r="E31"/>
      <c r="F31"/>
      <c r="G31"/>
      <c r="H31"/>
      <c r="I31"/>
    </row>
    <row r="32" spans="1:9" x14ac:dyDescent="0.45">
      <c r="A32"/>
      <c r="B32"/>
      <c r="C32"/>
      <c r="D32"/>
      <c r="E32"/>
      <c r="F32"/>
      <c r="G32"/>
      <c r="H32"/>
      <c r="I32"/>
    </row>
    <row r="33" spans="1:9" x14ac:dyDescent="0.45">
      <c r="A33"/>
      <c r="B33"/>
      <c r="C33"/>
      <c r="D33"/>
      <c r="E33"/>
      <c r="F33"/>
      <c r="G33"/>
      <c r="H33"/>
      <c r="I33"/>
    </row>
    <row r="34" spans="1:9" x14ac:dyDescent="0.45">
      <c r="A34"/>
      <c r="B34"/>
      <c r="C34"/>
      <c r="D34"/>
      <c r="E34"/>
      <c r="F34"/>
      <c r="G34"/>
      <c r="H34"/>
      <c r="I34"/>
    </row>
    <row r="35" spans="1:9" x14ac:dyDescent="0.45">
      <c r="A35"/>
      <c r="B35"/>
      <c r="C35"/>
      <c r="D35"/>
      <c r="E35"/>
      <c r="F35"/>
      <c r="G35"/>
      <c r="H35"/>
      <c r="I35"/>
    </row>
    <row r="36" spans="1:9" x14ac:dyDescent="0.45">
      <c r="A36"/>
      <c r="B36"/>
      <c r="C36"/>
      <c r="D36"/>
      <c r="E36"/>
      <c r="F36"/>
      <c r="G36"/>
      <c r="H36"/>
      <c r="I36"/>
    </row>
    <row r="37" spans="1:9" x14ac:dyDescent="0.45">
      <c r="A37"/>
      <c r="B37"/>
      <c r="C37"/>
      <c r="D37"/>
      <c r="E37"/>
      <c r="F37"/>
      <c r="G37"/>
      <c r="H37"/>
      <c r="I37"/>
    </row>
    <row r="38" spans="1:9" x14ac:dyDescent="0.45">
      <c r="A38"/>
      <c r="B38"/>
      <c r="C38"/>
      <c r="D38"/>
      <c r="E38"/>
      <c r="F38"/>
      <c r="G38"/>
      <c r="H38"/>
      <c r="I38"/>
    </row>
    <row r="39" spans="1:9" x14ac:dyDescent="0.45">
      <c r="A39"/>
      <c r="B39"/>
      <c r="C39"/>
      <c r="D39"/>
      <c r="E39"/>
      <c r="F39"/>
      <c r="G39"/>
      <c r="H39"/>
      <c r="I39"/>
    </row>
    <row r="40" spans="1:9" x14ac:dyDescent="0.45">
      <c r="A40"/>
      <c r="B40"/>
      <c r="C40"/>
      <c r="D40"/>
      <c r="E40"/>
      <c r="F40"/>
      <c r="G40"/>
      <c r="H40"/>
      <c r="I40"/>
    </row>
    <row r="41" spans="1:9" x14ac:dyDescent="0.45">
      <c r="A41"/>
      <c r="B41"/>
      <c r="C41"/>
      <c r="D41"/>
      <c r="E41"/>
      <c r="F41"/>
      <c r="G41"/>
      <c r="H41"/>
      <c r="I41"/>
    </row>
    <row r="42" spans="1:9" x14ac:dyDescent="0.45">
      <c r="A42"/>
      <c r="B42"/>
      <c r="C42"/>
      <c r="D42"/>
      <c r="E42"/>
      <c r="F42"/>
      <c r="G42"/>
      <c r="H42"/>
      <c r="I42"/>
    </row>
    <row r="43" spans="1:9" x14ac:dyDescent="0.45">
      <c r="A43"/>
      <c r="B43"/>
      <c r="C43"/>
      <c r="D43"/>
      <c r="E43"/>
      <c r="F43"/>
      <c r="G43"/>
      <c r="H43"/>
      <c r="I43"/>
    </row>
    <row r="44" spans="1:9" x14ac:dyDescent="0.45">
      <c r="A44"/>
      <c r="B44"/>
      <c r="C44"/>
      <c r="D44"/>
      <c r="E44"/>
      <c r="F44"/>
      <c r="G44"/>
      <c r="H44"/>
      <c r="I44"/>
    </row>
    <row r="45" spans="1:9" x14ac:dyDescent="0.45">
      <c r="A45"/>
      <c r="B45"/>
      <c r="C45"/>
      <c r="D45"/>
      <c r="E45"/>
      <c r="F45"/>
      <c r="G45"/>
      <c r="H45"/>
      <c r="I45"/>
    </row>
    <row r="46" spans="1:9" x14ac:dyDescent="0.45">
      <c r="A46"/>
      <c r="B46"/>
      <c r="C46"/>
      <c r="D46"/>
      <c r="E46"/>
      <c r="F46"/>
      <c r="G46"/>
      <c r="H46"/>
      <c r="I46"/>
    </row>
    <row r="47" spans="1:9" x14ac:dyDescent="0.45">
      <c r="A47"/>
      <c r="B47"/>
      <c r="C47"/>
      <c r="D47"/>
      <c r="E47"/>
      <c r="F47"/>
      <c r="G47"/>
      <c r="H47"/>
      <c r="I47"/>
    </row>
    <row r="48" spans="1:9" x14ac:dyDescent="0.45">
      <c r="A48"/>
      <c r="B48"/>
      <c r="C48"/>
      <c r="D48"/>
      <c r="E48"/>
      <c r="F48"/>
      <c r="G48"/>
      <c r="H48"/>
      <c r="I48"/>
    </row>
    <row r="49" spans="1:9" x14ac:dyDescent="0.45">
      <c r="A49"/>
      <c r="B49"/>
      <c r="C49"/>
      <c r="D49"/>
      <c r="E49"/>
      <c r="F49"/>
      <c r="G49"/>
      <c r="H49"/>
      <c r="I49"/>
    </row>
    <row r="50" spans="1:9" x14ac:dyDescent="0.45">
      <c r="A50"/>
      <c r="B50"/>
      <c r="C50"/>
      <c r="D50"/>
      <c r="E50"/>
      <c r="F50"/>
      <c r="G50"/>
      <c r="H50"/>
      <c r="I50"/>
    </row>
    <row r="51" spans="1:9" x14ac:dyDescent="0.45">
      <c r="A51"/>
      <c r="B51"/>
      <c r="C51"/>
      <c r="D51"/>
      <c r="E51"/>
      <c r="F51"/>
      <c r="G51"/>
      <c r="H51"/>
      <c r="I51"/>
    </row>
    <row r="52" spans="1:9" x14ac:dyDescent="0.45">
      <c r="A52"/>
      <c r="B52"/>
      <c r="C52"/>
      <c r="D52"/>
      <c r="E52"/>
      <c r="F52"/>
      <c r="G52"/>
      <c r="H52"/>
      <c r="I52"/>
    </row>
    <row r="53" spans="1:9" x14ac:dyDescent="0.45">
      <c r="A53"/>
      <c r="B53"/>
      <c r="C53"/>
      <c r="D53"/>
      <c r="E53"/>
      <c r="F53"/>
      <c r="G53"/>
      <c r="H53"/>
      <c r="I53"/>
    </row>
    <row r="54" spans="1:9" x14ac:dyDescent="0.45">
      <c r="A54"/>
      <c r="B54"/>
      <c r="C54"/>
      <c r="D54"/>
      <c r="E54"/>
      <c r="F54"/>
      <c r="G54"/>
      <c r="H54"/>
      <c r="I54"/>
    </row>
    <row r="55" spans="1:9" x14ac:dyDescent="0.45">
      <c r="A55"/>
      <c r="B55"/>
      <c r="C55"/>
      <c r="D55"/>
      <c r="E55"/>
      <c r="F55"/>
      <c r="G55"/>
      <c r="H55"/>
      <c r="I55"/>
    </row>
    <row r="56" spans="1:9" x14ac:dyDescent="0.45">
      <c r="A56"/>
      <c r="B56"/>
      <c r="C56"/>
      <c r="D56"/>
      <c r="E56"/>
      <c r="F56"/>
      <c r="G56"/>
      <c r="H56"/>
      <c r="I56"/>
    </row>
    <row r="57" spans="1:9" x14ac:dyDescent="0.45">
      <c r="A57"/>
      <c r="B57"/>
      <c r="C57"/>
      <c r="D57"/>
      <c r="E57"/>
      <c r="F57"/>
      <c r="G57"/>
      <c r="H57"/>
      <c r="I57"/>
    </row>
    <row r="58" spans="1:9" x14ac:dyDescent="0.45">
      <c r="A58"/>
      <c r="B58"/>
      <c r="C58"/>
      <c r="D58"/>
      <c r="E58"/>
      <c r="F58"/>
      <c r="G58"/>
      <c r="H58"/>
      <c r="I58"/>
    </row>
    <row r="59" spans="1:9" x14ac:dyDescent="0.45">
      <c r="A59"/>
      <c r="B59"/>
      <c r="C59"/>
      <c r="D59"/>
      <c r="E59"/>
      <c r="F59"/>
      <c r="G59"/>
      <c r="H59"/>
      <c r="I59"/>
    </row>
    <row r="60" spans="1:9" x14ac:dyDescent="0.45">
      <c r="A60"/>
      <c r="B60"/>
      <c r="C60"/>
      <c r="D60"/>
      <c r="E60"/>
      <c r="F60"/>
      <c r="G60"/>
      <c r="H60"/>
      <c r="I60"/>
    </row>
    <row r="61" spans="1:9" x14ac:dyDescent="0.45">
      <c r="A61"/>
      <c r="B61"/>
      <c r="C61"/>
      <c r="D61"/>
      <c r="E61"/>
      <c r="F61"/>
      <c r="G61"/>
      <c r="H61"/>
      <c r="I61"/>
    </row>
    <row r="62" spans="1:9" x14ac:dyDescent="0.45">
      <c r="A62"/>
      <c r="B62"/>
      <c r="C62"/>
      <c r="D62"/>
      <c r="E62"/>
      <c r="F62"/>
      <c r="G62"/>
      <c r="H62"/>
      <c r="I62"/>
    </row>
    <row r="63" spans="1:9" x14ac:dyDescent="0.45">
      <c r="A63"/>
      <c r="B63"/>
      <c r="C63"/>
      <c r="D63"/>
      <c r="E63"/>
      <c r="F63"/>
      <c r="G63"/>
      <c r="H63"/>
      <c r="I63"/>
    </row>
    <row r="64" spans="1:9" x14ac:dyDescent="0.45">
      <c r="A64"/>
      <c r="B64"/>
      <c r="C64"/>
      <c r="D64"/>
      <c r="E64"/>
      <c r="F64"/>
      <c r="G64"/>
      <c r="H64"/>
      <c r="I64"/>
    </row>
    <row r="65" spans="1:9" x14ac:dyDescent="0.45">
      <c r="A65"/>
      <c r="B65"/>
      <c r="C65"/>
      <c r="D65"/>
      <c r="E65"/>
      <c r="F65"/>
      <c r="G65"/>
      <c r="H65"/>
      <c r="I65"/>
    </row>
    <row r="66" spans="1:9" x14ac:dyDescent="0.45">
      <c r="A66"/>
      <c r="B66"/>
      <c r="C66"/>
      <c r="D66"/>
      <c r="E66"/>
      <c r="F66"/>
      <c r="G66"/>
      <c r="H66"/>
      <c r="I66"/>
    </row>
    <row r="67" spans="1:9" x14ac:dyDescent="0.45">
      <c r="A67"/>
      <c r="B67"/>
      <c r="C67"/>
      <c r="D67"/>
      <c r="E67"/>
      <c r="F67"/>
      <c r="G67"/>
      <c r="H67"/>
      <c r="I67"/>
    </row>
    <row r="68" spans="1:9" x14ac:dyDescent="0.45">
      <c r="A68"/>
      <c r="B68"/>
      <c r="C68"/>
      <c r="D68"/>
      <c r="E68"/>
      <c r="F68"/>
      <c r="G68"/>
      <c r="H68"/>
      <c r="I68"/>
    </row>
    <row r="69" spans="1:9" x14ac:dyDescent="0.45">
      <c r="A69"/>
      <c r="B69"/>
      <c r="C69"/>
      <c r="D69"/>
      <c r="E69"/>
      <c r="F69"/>
      <c r="G69"/>
      <c r="H69"/>
      <c r="I69"/>
    </row>
    <row r="70" spans="1:9" x14ac:dyDescent="0.45">
      <c r="A70"/>
      <c r="B70"/>
      <c r="C70"/>
      <c r="D70"/>
      <c r="E70"/>
      <c r="F70"/>
      <c r="G70"/>
      <c r="H70"/>
      <c r="I70"/>
    </row>
    <row r="71" spans="1:9" x14ac:dyDescent="0.45">
      <c r="A71"/>
      <c r="B71"/>
      <c r="C71"/>
      <c r="D71"/>
      <c r="E71"/>
      <c r="F71"/>
      <c r="G71"/>
      <c r="H71"/>
      <c r="I71"/>
    </row>
    <row r="72" spans="1:9" x14ac:dyDescent="0.45">
      <c r="A72"/>
      <c r="B72"/>
      <c r="C72"/>
      <c r="D72"/>
      <c r="E72"/>
      <c r="F72"/>
      <c r="G72"/>
      <c r="H72"/>
      <c r="I72"/>
    </row>
    <row r="73" spans="1:9" x14ac:dyDescent="0.45">
      <c r="A73"/>
      <c r="B73"/>
      <c r="C73"/>
      <c r="D73"/>
      <c r="E73"/>
      <c r="F73"/>
      <c r="G73"/>
      <c r="H73"/>
      <c r="I73"/>
    </row>
    <row r="74" spans="1:9" x14ac:dyDescent="0.45">
      <c r="A74"/>
      <c r="B74"/>
      <c r="C74"/>
      <c r="D74"/>
      <c r="E74"/>
      <c r="F74"/>
      <c r="G74"/>
      <c r="H74"/>
      <c r="I74"/>
    </row>
    <row r="75" spans="1:9" x14ac:dyDescent="0.45">
      <c r="A75"/>
      <c r="B75"/>
      <c r="C75"/>
      <c r="D75"/>
      <c r="E75"/>
      <c r="F75"/>
      <c r="G75"/>
      <c r="H75"/>
      <c r="I75"/>
    </row>
    <row r="76" spans="1:9" x14ac:dyDescent="0.45">
      <c r="A76"/>
      <c r="B76"/>
      <c r="C76"/>
      <c r="D76"/>
      <c r="E76"/>
      <c r="F76"/>
      <c r="G76"/>
      <c r="H76"/>
      <c r="I76"/>
    </row>
    <row r="77" spans="1:9" x14ac:dyDescent="0.45">
      <c r="A77"/>
      <c r="B77"/>
      <c r="C77"/>
      <c r="D77"/>
      <c r="E77"/>
      <c r="F77"/>
      <c r="G77"/>
      <c r="H77"/>
      <c r="I77"/>
    </row>
    <row r="78" spans="1:9" x14ac:dyDescent="0.45">
      <c r="A78"/>
      <c r="B78"/>
      <c r="C78"/>
      <c r="D78"/>
      <c r="E78"/>
      <c r="F78"/>
      <c r="G78"/>
      <c r="H78"/>
      <c r="I78"/>
    </row>
    <row r="79" spans="1:9" x14ac:dyDescent="0.45">
      <c r="A79"/>
      <c r="B79"/>
      <c r="C79"/>
      <c r="D79"/>
      <c r="E79"/>
      <c r="F79"/>
      <c r="G79"/>
      <c r="H79"/>
      <c r="I79"/>
    </row>
    <row r="80" spans="1:9" x14ac:dyDescent="0.45">
      <c r="A80"/>
      <c r="B80"/>
      <c r="C80"/>
      <c r="D80"/>
      <c r="E80"/>
      <c r="F80"/>
      <c r="G80"/>
      <c r="H80"/>
      <c r="I80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0"/>
  <sheetViews>
    <sheetView showGridLines="0" zoomScale="47" workbookViewId="0">
      <pane ySplit="2" topLeftCell="A3" activePane="bottomLeft" state="frozen"/>
      <selection pane="bottomLeft" activeCell="A11" sqref="A11"/>
    </sheetView>
  </sheetViews>
  <sheetFormatPr baseColWidth="10" defaultColWidth="8.90625" defaultRowHeight="18.5" x14ac:dyDescent="0.45"/>
  <cols>
    <col min="1" max="1" width="103.6328125" style="1" bestFit="1" customWidth="1"/>
    <col min="2" max="2" width="48.81640625" style="1" bestFit="1" customWidth="1"/>
    <col min="3" max="3" width="77.1796875" style="1" bestFit="1" customWidth="1"/>
    <col min="4" max="4" width="255.81640625" style="1" bestFit="1" customWidth="1"/>
    <col min="5" max="5" width="175" style="1" bestFit="1" customWidth="1"/>
    <col min="6" max="6" width="38.90625" style="1" bestFit="1" customWidth="1"/>
    <col min="7" max="7" width="148.6328125" style="1" bestFit="1" customWidth="1"/>
    <col min="8" max="8" width="204" style="1" bestFit="1" customWidth="1"/>
    <col min="9" max="9" width="22.08984375" style="1" bestFit="1" customWidth="1"/>
    <col min="10" max="10" width="11" style="1" bestFit="1" customWidth="1"/>
    <col min="11" max="11" width="82.08984375" style="1" bestFit="1" customWidth="1"/>
    <col min="12" max="12" width="37.6328125" style="1" bestFit="1" customWidth="1"/>
    <col min="13" max="13" width="85.453125" style="1" bestFit="1" customWidth="1"/>
    <col min="14" max="14" width="194.1796875" style="1" bestFit="1" customWidth="1"/>
    <col min="15" max="15" width="16.1796875" style="1" bestFit="1" customWidth="1"/>
    <col min="16" max="16" width="24.36328125" style="1" bestFit="1" customWidth="1"/>
    <col min="17" max="17" width="25.90625" style="1" bestFit="1" customWidth="1"/>
    <col min="18" max="18" width="34.6328125" style="1" bestFit="1" customWidth="1"/>
    <col min="19" max="16384" width="8.90625" style="1"/>
  </cols>
  <sheetData>
    <row r="1" spans="1:18" x14ac:dyDescent="0.45">
      <c r="A1" s="284" t="s">
        <v>2289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4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45">
      <c r="A3" s="176" t="s">
        <v>2290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/>
      <c r="P3"/>
      <c r="Q3"/>
      <c r="R3"/>
    </row>
    <row r="4" spans="1:18" x14ac:dyDescent="0.45">
      <c r="A4" s="177" t="s">
        <v>32</v>
      </c>
      <c r="B4" s="177" t="s">
        <v>19</v>
      </c>
      <c r="C4" s="177" t="s">
        <v>1827</v>
      </c>
      <c r="D4" s="177" t="s">
        <v>33</v>
      </c>
      <c r="E4" s="177"/>
      <c r="F4" s="177" t="s">
        <v>34</v>
      </c>
      <c r="G4" s="177" t="s">
        <v>35</v>
      </c>
      <c r="H4" s="177"/>
      <c r="I4" s="177" t="s">
        <v>36</v>
      </c>
      <c r="J4" s="177">
        <v>2021</v>
      </c>
      <c r="K4" s="177" t="s">
        <v>37</v>
      </c>
      <c r="L4" s="178" t="s">
        <v>30</v>
      </c>
      <c r="M4" s="177"/>
      <c r="N4" s="177" t="s">
        <v>34</v>
      </c>
      <c r="O4"/>
      <c r="P4"/>
      <c r="Q4"/>
      <c r="R4"/>
    </row>
    <row r="5" spans="1:18" x14ac:dyDescent="0.45">
      <c r="A5" s="177" t="s">
        <v>417</v>
      </c>
      <c r="B5" s="177" t="s">
        <v>19</v>
      </c>
      <c r="C5" s="177" t="s">
        <v>1827</v>
      </c>
      <c r="D5" s="177" t="s">
        <v>418</v>
      </c>
      <c r="E5" s="177"/>
      <c r="F5" s="177" t="s">
        <v>419</v>
      </c>
      <c r="G5" s="177">
        <v>72298</v>
      </c>
      <c r="H5" s="177"/>
      <c r="I5" s="177" t="s">
        <v>420</v>
      </c>
      <c r="J5" s="177">
        <v>2025</v>
      </c>
      <c r="K5" s="177" t="s">
        <v>78</v>
      </c>
      <c r="L5" s="179" t="s">
        <v>79</v>
      </c>
      <c r="M5" s="177"/>
      <c r="N5" s="177" t="s">
        <v>419</v>
      </c>
      <c r="O5"/>
      <c r="P5"/>
      <c r="Q5"/>
      <c r="R5"/>
    </row>
    <row r="6" spans="1:18" x14ac:dyDescent="0.45">
      <c r="A6" s="177" t="s">
        <v>71</v>
      </c>
      <c r="B6" s="177" t="s">
        <v>19</v>
      </c>
      <c r="C6" s="177" t="s">
        <v>1827</v>
      </c>
      <c r="D6" s="177" t="s">
        <v>72</v>
      </c>
      <c r="E6" s="177" t="s">
        <v>73</v>
      </c>
      <c r="F6" s="177" t="s">
        <v>21</v>
      </c>
      <c r="G6" s="177">
        <v>37977</v>
      </c>
      <c r="H6" s="177"/>
      <c r="I6" s="180">
        <v>42067</v>
      </c>
      <c r="J6" s="177">
        <v>2015</v>
      </c>
      <c r="K6" s="177"/>
      <c r="L6" s="181" t="s">
        <v>23</v>
      </c>
      <c r="M6" s="177"/>
      <c r="N6" s="177" t="s">
        <v>21</v>
      </c>
      <c r="O6"/>
      <c r="P6"/>
      <c r="Q6"/>
      <c r="R6"/>
    </row>
    <row r="7" spans="1:18" x14ac:dyDescent="0.45">
      <c r="A7" s="177" t="s">
        <v>455</v>
      </c>
      <c r="B7" s="177" t="s">
        <v>19</v>
      </c>
      <c r="C7" s="177" t="s">
        <v>1827</v>
      </c>
      <c r="D7" s="177" t="s">
        <v>456</v>
      </c>
      <c r="E7" s="177"/>
      <c r="F7" s="177" t="s">
        <v>180</v>
      </c>
      <c r="G7" s="177" t="s">
        <v>457</v>
      </c>
      <c r="H7" s="177"/>
      <c r="I7" s="177" t="s">
        <v>458</v>
      </c>
      <c r="J7" s="177">
        <v>2024</v>
      </c>
      <c r="K7" s="177" t="s">
        <v>78</v>
      </c>
      <c r="L7" s="179" t="s">
        <v>79</v>
      </c>
      <c r="M7" s="177"/>
      <c r="N7" s="177" t="s">
        <v>180</v>
      </c>
      <c r="O7"/>
      <c r="P7"/>
      <c r="Q7"/>
      <c r="R7"/>
    </row>
    <row r="8" spans="1:18" x14ac:dyDescent="0.45">
      <c r="A8" s="177" t="s">
        <v>473</v>
      </c>
      <c r="B8" s="177" t="s">
        <v>19</v>
      </c>
      <c r="C8" s="177" t="s">
        <v>1827</v>
      </c>
      <c r="D8" s="177" t="s">
        <v>474</v>
      </c>
      <c r="E8" s="177"/>
      <c r="F8" s="177" t="s">
        <v>475</v>
      </c>
      <c r="G8" s="177" t="s">
        <v>476</v>
      </c>
      <c r="H8" s="177"/>
      <c r="I8" s="180">
        <v>45605</v>
      </c>
      <c r="J8" s="177">
        <v>2024</v>
      </c>
      <c r="K8" s="177" t="s">
        <v>78</v>
      </c>
      <c r="L8" s="179" t="s">
        <v>79</v>
      </c>
      <c r="M8" s="177"/>
      <c r="N8" s="177" t="s">
        <v>477</v>
      </c>
      <c r="O8"/>
      <c r="P8"/>
      <c r="Q8"/>
      <c r="R8"/>
    </row>
    <row r="9" spans="1:18" x14ac:dyDescent="0.45">
      <c r="A9" s="177" t="s">
        <v>548</v>
      </c>
      <c r="B9" s="177" t="s">
        <v>19</v>
      </c>
      <c r="C9" s="177" t="s">
        <v>1827</v>
      </c>
      <c r="D9" s="177" t="s">
        <v>549</v>
      </c>
      <c r="E9" s="177"/>
      <c r="F9" s="177" t="s">
        <v>419</v>
      </c>
      <c r="G9" s="177" t="s">
        <v>550</v>
      </c>
      <c r="H9" s="177"/>
      <c r="I9" s="177" t="s">
        <v>551</v>
      </c>
      <c r="J9" s="177">
        <v>2023</v>
      </c>
      <c r="K9" s="177" t="s">
        <v>106</v>
      </c>
      <c r="L9" s="182" t="s">
        <v>107</v>
      </c>
      <c r="M9" s="177"/>
      <c r="N9" s="177" t="s">
        <v>419</v>
      </c>
      <c r="O9"/>
      <c r="P9"/>
      <c r="Q9"/>
      <c r="R9"/>
    </row>
    <row r="10" spans="1:18" x14ac:dyDescent="0.45">
      <c r="A10" s="177" t="s">
        <v>664</v>
      </c>
      <c r="B10" s="177" t="s">
        <v>19</v>
      </c>
      <c r="C10" s="177" t="s">
        <v>1827</v>
      </c>
      <c r="D10" s="177" t="s">
        <v>665</v>
      </c>
      <c r="E10" s="177"/>
      <c r="F10" s="177" t="s">
        <v>475</v>
      </c>
      <c r="G10" s="177">
        <v>71355</v>
      </c>
      <c r="H10" s="177"/>
      <c r="I10" s="177" t="s">
        <v>666</v>
      </c>
      <c r="J10" s="177">
        <v>2025</v>
      </c>
      <c r="K10" s="177" t="s">
        <v>78</v>
      </c>
      <c r="L10" s="179" t="s">
        <v>79</v>
      </c>
      <c r="M10" s="177"/>
      <c r="N10" s="177" t="s">
        <v>477</v>
      </c>
      <c r="O10"/>
      <c r="P10"/>
      <c r="Q10"/>
      <c r="R10"/>
    </row>
    <row r="11" spans="1:18" x14ac:dyDescent="0.45">
      <c r="A11" s="177" t="s">
        <v>683</v>
      </c>
      <c r="B11" s="177" t="s">
        <v>19</v>
      </c>
      <c r="C11" s="177" t="s">
        <v>1827</v>
      </c>
      <c r="D11" s="177" t="s">
        <v>684</v>
      </c>
      <c r="E11" s="177" t="s">
        <v>685</v>
      </c>
      <c r="F11" s="177" t="s">
        <v>21</v>
      </c>
      <c r="G11" s="177">
        <v>55251</v>
      </c>
      <c r="H11" s="177"/>
      <c r="I11" s="177" t="s">
        <v>211</v>
      </c>
      <c r="J11" s="177">
        <v>2021</v>
      </c>
      <c r="K11" s="177" t="s">
        <v>85</v>
      </c>
      <c r="L11" s="178" t="s">
        <v>30</v>
      </c>
      <c r="M11" s="177"/>
      <c r="N11" s="177" t="s">
        <v>21</v>
      </c>
      <c r="O11"/>
      <c r="P11"/>
      <c r="Q11"/>
      <c r="R11"/>
    </row>
    <row r="12" spans="1:18" x14ac:dyDescent="0.45">
      <c r="A12" s="177" t="s">
        <v>129</v>
      </c>
      <c r="B12" s="177" t="s">
        <v>19</v>
      </c>
      <c r="C12" s="177" t="s">
        <v>1827</v>
      </c>
      <c r="D12" s="177" t="s">
        <v>130</v>
      </c>
      <c r="E12" s="177" t="s">
        <v>131</v>
      </c>
      <c r="F12" s="177" t="s">
        <v>21</v>
      </c>
      <c r="G12" s="177">
        <v>51964</v>
      </c>
      <c r="H12" s="177"/>
      <c r="I12" s="177" t="s">
        <v>132</v>
      </c>
      <c r="J12" s="177">
        <v>2020</v>
      </c>
      <c r="K12" s="177" t="s">
        <v>133</v>
      </c>
      <c r="L12" s="178" t="s">
        <v>30</v>
      </c>
      <c r="M12" s="177"/>
      <c r="N12" s="177" t="s">
        <v>21</v>
      </c>
      <c r="O12"/>
      <c r="P12"/>
      <c r="Q12"/>
      <c r="R12"/>
    </row>
    <row r="13" spans="1:18" x14ac:dyDescent="0.45">
      <c r="A13" s="183" t="s">
        <v>2291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/>
      <c r="P13"/>
      <c r="Q13"/>
      <c r="R13"/>
    </row>
    <row r="14" spans="1:18" x14ac:dyDescent="0.45">
      <c r="A14" s="177" t="s">
        <v>436</v>
      </c>
      <c r="B14" s="177" t="s">
        <v>19</v>
      </c>
      <c r="C14" s="177" t="s">
        <v>1842</v>
      </c>
      <c r="D14" s="177" t="s">
        <v>437</v>
      </c>
      <c r="E14" s="177"/>
      <c r="F14" s="177" t="s">
        <v>170</v>
      </c>
      <c r="G14" s="177" t="s">
        <v>438</v>
      </c>
      <c r="H14" s="177"/>
      <c r="I14" s="177" t="s">
        <v>439</v>
      </c>
      <c r="J14" s="177">
        <v>2021</v>
      </c>
      <c r="K14" s="177" t="s">
        <v>78</v>
      </c>
      <c r="L14" s="179" t="s">
        <v>79</v>
      </c>
      <c r="M14" s="177"/>
      <c r="N14" s="177" t="s">
        <v>170</v>
      </c>
      <c r="O14"/>
      <c r="P14"/>
      <c r="Q14"/>
      <c r="R14"/>
    </row>
    <row r="15" spans="1:18" x14ac:dyDescent="0.45">
      <c r="A15" s="177" t="s">
        <v>81</v>
      </c>
      <c r="B15" s="177" t="s">
        <v>19</v>
      </c>
      <c r="C15" s="177" t="s">
        <v>1842</v>
      </c>
      <c r="D15" s="177" t="s">
        <v>82</v>
      </c>
      <c r="E15" s="177" t="s">
        <v>83</v>
      </c>
      <c r="F15" s="177" t="s">
        <v>21</v>
      </c>
      <c r="G15" s="177">
        <v>55256</v>
      </c>
      <c r="H15" s="177"/>
      <c r="I15" s="177" t="s">
        <v>84</v>
      </c>
      <c r="J15" s="177">
        <v>2021</v>
      </c>
      <c r="K15" s="177" t="s">
        <v>85</v>
      </c>
      <c r="L15" s="178" t="s">
        <v>30</v>
      </c>
      <c r="M15" s="177"/>
      <c r="N15" s="177" t="s">
        <v>21</v>
      </c>
      <c r="O15"/>
      <c r="P15"/>
      <c r="Q15"/>
      <c r="R15"/>
    </row>
    <row r="16" spans="1:18" x14ac:dyDescent="0.45">
      <c r="A16" s="177" t="s">
        <v>86</v>
      </c>
      <c r="B16" s="177" t="s">
        <v>19</v>
      </c>
      <c r="C16" s="177" t="s">
        <v>1842</v>
      </c>
      <c r="D16" s="177" t="s">
        <v>87</v>
      </c>
      <c r="E16" s="177" t="s">
        <v>88</v>
      </c>
      <c r="F16" s="177" t="s">
        <v>21</v>
      </c>
      <c r="G16" s="177">
        <v>60480</v>
      </c>
      <c r="H16" s="177"/>
      <c r="I16" s="177" t="s">
        <v>89</v>
      </c>
      <c r="J16" s="177">
        <v>2023</v>
      </c>
      <c r="K16" s="177"/>
      <c r="L16" s="181" t="s">
        <v>23</v>
      </c>
      <c r="M16" s="177"/>
      <c r="N16" s="177" t="s">
        <v>90</v>
      </c>
      <c r="O16"/>
      <c r="P16"/>
      <c r="Q16"/>
      <c r="R16"/>
    </row>
    <row r="17" spans="1:18" x14ac:dyDescent="0.45">
      <c r="A17" s="177" t="s">
        <v>216</v>
      </c>
      <c r="B17" s="177" t="s">
        <v>19</v>
      </c>
      <c r="C17" s="177" t="s">
        <v>1842</v>
      </c>
      <c r="D17" s="177" t="s">
        <v>217</v>
      </c>
      <c r="E17" s="177" t="s">
        <v>218</v>
      </c>
      <c r="F17" s="177" t="s">
        <v>21</v>
      </c>
      <c r="G17" s="177">
        <v>41744</v>
      </c>
      <c r="H17" s="177">
        <v>41744</v>
      </c>
      <c r="I17" s="177" t="s">
        <v>219</v>
      </c>
      <c r="J17" s="177">
        <v>2017</v>
      </c>
      <c r="K17" s="177" t="s">
        <v>220</v>
      </c>
      <c r="L17" s="178" t="s">
        <v>30</v>
      </c>
      <c r="M17" s="177"/>
      <c r="N17" s="177" t="s">
        <v>21</v>
      </c>
      <c r="O17"/>
      <c r="P17"/>
      <c r="Q17"/>
      <c r="R17"/>
    </row>
    <row r="18" spans="1:18" x14ac:dyDescent="0.45">
      <c r="A18" s="177" t="s">
        <v>97</v>
      </c>
      <c r="B18" s="177" t="s">
        <v>19</v>
      </c>
      <c r="C18" s="177" t="s">
        <v>1842</v>
      </c>
      <c r="D18" s="177" t="s">
        <v>98</v>
      </c>
      <c r="E18" s="177" t="s">
        <v>99</v>
      </c>
      <c r="F18" s="177" t="s">
        <v>21</v>
      </c>
      <c r="G18" s="177">
        <v>39662</v>
      </c>
      <c r="H18" s="177"/>
      <c r="I18" s="177" t="s">
        <v>100</v>
      </c>
      <c r="J18" s="177">
        <v>2016</v>
      </c>
      <c r="K18" s="177"/>
      <c r="L18" s="181" t="s">
        <v>23</v>
      </c>
      <c r="M18" s="177"/>
      <c r="N18" s="177" t="s">
        <v>21</v>
      </c>
      <c r="O18"/>
      <c r="P18"/>
      <c r="Q18"/>
      <c r="R18"/>
    </row>
    <row r="19" spans="1:18" x14ac:dyDescent="0.45">
      <c r="A19" s="177" t="s">
        <v>512</v>
      </c>
      <c r="B19" s="177" t="s">
        <v>19</v>
      </c>
      <c r="C19" s="177" t="s">
        <v>1842</v>
      </c>
      <c r="D19" s="177" t="s">
        <v>513</v>
      </c>
      <c r="E19" s="177" t="s">
        <v>514</v>
      </c>
      <c r="F19" s="177" t="s">
        <v>21</v>
      </c>
      <c r="G19" s="177">
        <v>38765</v>
      </c>
      <c r="H19" s="177"/>
      <c r="I19" s="177" t="s">
        <v>186</v>
      </c>
      <c r="J19" s="177">
        <v>2015</v>
      </c>
      <c r="K19" s="177"/>
      <c r="L19" s="181" t="s">
        <v>23</v>
      </c>
      <c r="M19" s="177"/>
      <c r="N19" s="177" t="s">
        <v>21</v>
      </c>
      <c r="O19"/>
      <c r="P19"/>
      <c r="Q19"/>
      <c r="R19"/>
    </row>
    <row r="20" spans="1:18" x14ac:dyDescent="0.45">
      <c r="A20" s="177" t="s">
        <v>421</v>
      </c>
      <c r="B20" s="177" t="s">
        <v>19</v>
      </c>
      <c r="C20" s="177" t="s">
        <v>1842</v>
      </c>
      <c r="D20" s="177" t="s">
        <v>422</v>
      </c>
      <c r="E20" s="177" t="s">
        <v>423</v>
      </c>
      <c r="F20" s="177" t="s">
        <v>21</v>
      </c>
      <c r="G20" s="177">
        <v>47858</v>
      </c>
      <c r="H20" s="177"/>
      <c r="I20" s="177" t="s">
        <v>424</v>
      </c>
      <c r="J20" s="177">
        <v>2019</v>
      </c>
      <c r="K20" s="177" t="s">
        <v>425</v>
      </c>
      <c r="L20" s="178" t="s">
        <v>30</v>
      </c>
      <c r="M20" s="177"/>
      <c r="N20" s="177" t="s">
        <v>21</v>
      </c>
      <c r="O20"/>
      <c r="P20"/>
      <c r="Q20"/>
      <c r="R20"/>
    </row>
    <row r="21" spans="1:18" x14ac:dyDescent="0.45">
      <c r="A21" s="177" t="s">
        <v>426</v>
      </c>
      <c r="B21" s="177" t="s">
        <v>19</v>
      </c>
      <c r="C21" s="177" t="s">
        <v>1842</v>
      </c>
      <c r="D21" s="177" t="s">
        <v>427</v>
      </c>
      <c r="E21" s="177" t="s">
        <v>428</v>
      </c>
      <c r="F21" s="177" t="s">
        <v>21</v>
      </c>
      <c r="G21" s="177">
        <v>51974</v>
      </c>
      <c r="H21" s="177"/>
      <c r="I21" s="177" t="s">
        <v>159</v>
      </c>
      <c r="J21" s="177">
        <v>2020</v>
      </c>
      <c r="K21" s="177"/>
      <c r="L21" s="181" t="s">
        <v>23</v>
      </c>
      <c r="M21" s="177"/>
      <c r="N21" s="177" t="s">
        <v>21</v>
      </c>
      <c r="O21"/>
      <c r="P21"/>
      <c r="Q21"/>
      <c r="R21"/>
    </row>
    <row r="22" spans="1:18" x14ac:dyDescent="0.45">
      <c r="A22" s="177" t="s">
        <v>429</v>
      </c>
      <c r="B22" s="177" t="s">
        <v>19</v>
      </c>
      <c r="C22" s="177" t="s">
        <v>1842</v>
      </c>
      <c r="D22" s="177" t="s">
        <v>430</v>
      </c>
      <c r="E22" s="177" t="s">
        <v>423</v>
      </c>
      <c r="F22" s="177" t="s">
        <v>21</v>
      </c>
      <c r="G22" s="177">
        <v>43337</v>
      </c>
      <c r="H22" s="177">
        <v>43337</v>
      </c>
      <c r="I22" s="177" t="s">
        <v>431</v>
      </c>
      <c r="J22" s="177">
        <v>2018</v>
      </c>
      <c r="K22" s="177" t="s">
        <v>432</v>
      </c>
      <c r="L22" s="178" t="s">
        <v>30</v>
      </c>
      <c r="M22" s="177"/>
      <c r="N22" s="177" t="s">
        <v>21</v>
      </c>
      <c r="O22"/>
      <c r="P22"/>
      <c r="Q22"/>
      <c r="R22"/>
    </row>
    <row r="23" spans="1:18" x14ac:dyDescent="0.45">
      <c r="A23" s="177" t="s">
        <v>113</v>
      </c>
      <c r="B23" s="177" t="s">
        <v>19</v>
      </c>
      <c r="C23" s="177" t="s">
        <v>1842</v>
      </c>
      <c r="D23" s="177" t="s">
        <v>114</v>
      </c>
      <c r="E23" s="177" t="s">
        <v>115</v>
      </c>
      <c r="F23" s="177" t="s">
        <v>21</v>
      </c>
      <c r="G23" s="177">
        <v>44365</v>
      </c>
      <c r="H23" s="177">
        <v>44365</v>
      </c>
      <c r="I23" s="177" t="s">
        <v>116</v>
      </c>
      <c r="J23" s="177">
        <v>2018</v>
      </c>
      <c r="K23" s="177" t="s">
        <v>117</v>
      </c>
      <c r="L23" s="178" t="s">
        <v>30</v>
      </c>
      <c r="M23" s="177"/>
      <c r="N23" s="177" t="s">
        <v>21</v>
      </c>
      <c r="O23"/>
      <c r="P23"/>
      <c r="Q23"/>
      <c r="R23"/>
    </row>
    <row r="24" spans="1:18" x14ac:dyDescent="0.45">
      <c r="A24" s="177" t="s">
        <v>673</v>
      </c>
      <c r="B24" s="177" t="s">
        <v>19</v>
      </c>
      <c r="C24" s="177" t="s">
        <v>1842</v>
      </c>
      <c r="D24" s="177" t="s">
        <v>674</v>
      </c>
      <c r="E24" s="177" t="s">
        <v>675</v>
      </c>
      <c r="F24" s="177" t="s">
        <v>21</v>
      </c>
      <c r="G24" s="177">
        <v>52332</v>
      </c>
      <c r="H24" s="177"/>
      <c r="I24" s="177" t="s">
        <v>676</v>
      </c>
      <c r="J24" s="177">
        <v>2021</v>
      </c>
      <c r="K24" s="177" t="s">
        <v>677</v>
      </c>
      <c r="L24" s="178" t="s">
        <v>30</v>
      </c>
      <c r="M24" s="177"/>
      <c r="N24" s="177" t="s">
        <v>678</v>
      </c>
      <c r="O24"/>
      <c r="P24"/>
      <c r="Q24"/>
      <c r="R24"/>
    </row>
    <row r="25" spans="1:18" x14ac:dyDescent="0.45">
      <c r="A25" s="177" t="s">
        <v>151</v>
      </c>
      <c r="B25" s="177" t="s">
        <v>19</v>
      </c>
      <c r="C25" s="177" t="s">
        <v>1842</v>
      </c>
      <c r="D25" s="177" t="s">
        <v>152</v>
      </c>
      <c r="E25" s="177" t="s">
        <v>153</v>
      </c>
      <c r="F25" s="177" t="s">
        <v>21</v>
      </c>
      <c r="G25" s="177">
        <v>37435</v>
      </c>
      <c r="H25" s="177">
        <v>37435</v>
      </c>
      <c r="I25" s="177" t="s">
        <v>154</v>
      </c>
      <c r="J25" s="177">
        <v>2014</v>
      </c>
      <c r="K25" s="177" t="s">
        <v>155</v>
      </c>
      <c r="L25" s="178" t="s">
        <v>30</v>
      </c>
      <c r="M25" s="177"/>
      <c r="N25" s="177" t="s">
        <v>21</v>
      </c>
      <c r="O25"/>
      <c r="P25"/>
      <c r="Q25"/>
      <c r="R25"/>
    </row>
    <row r="26" spans="1:18" x14ac:dyDescent="0.45">
      <c r="A26" s="177" t="s">
        <v>813</v>
      </c>
      <c r="B26" s="177" t="s">
        <v>19</v>
      </c>
      <c r="C26" s="177" t="s">
        <v>1842</v>
      </c>
      <c r="D26" s="177" t="s">
        <v>814</v>
      </c>
      <c r="E26" s="177" t="s">
        <v>815</v>
      </c>
      <c r="F26" s="177" t="s">
        <v>21</v>
      </c>
      <c r="G26" s="177">
        <v>38901</v>
      </c>
      <c r="H26" s="177">
        <v>38901</v>
      </c>
      <c r="I26" s="180">
        <v>42616</v>
      </c>
      <c r="J26" s="177">
        <v>2016</v>
      </c>
      <c r="K26" s="177" t="s">
        <v>187</v>
      </c>
      <c r="L26" s="178" t="s">
        <v>30</v>
      </c>
      <c r="M26" s="177"/>
      <c r="N26" s="177" t="s">
        <v>21</v>
      </c>
      <c r="O26"/>
      <c r="P26"/>
      <c r="Q26"/>
      <c r="R26"/>
    </row>
    <row r="27" spans="1:18" x14ac:dyDescent="0.45">
      <c r="A27" s="183" t="s">
        <v>2292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/>
      <c r="P27"/>
      <c r="Q27"/>
      <c r="R27"/>
    </row>
    <row r="28" spans="1:18" x14ac:dyDescent="0.45">
      <c r="A28" s="177" t="s">
        <v>433</v>
      </c>
      <c r="B28" s="177" t="s">
        <v>19</v>
      </c>
      <c r="C28" s="177" t="s">
        <v>1861</v>
      </c>
      <c r="D28" s="177" t="s">
        <v>434</v>
      </c>
      <c r="E28" s="177"/>
      <c r="F28" s="177" t="s">
        <v>180</v>
      </c>
      <c r="G28" s="177" t="s">
        <v>435</v>
      </c>
      <c r="H28" s="177"/>
      <c r="I28" s="180">
        <v>44995</v>
      </c>
      <c r="J28" s="177">
        <v>2023</v>
      </c>
      <c r="K28" s="177" t="s">
        <v>106</v>
      </c>
      <c r="L28" s="182" t="s">
        <v>107</v>
      </c>
      <c r="M28" s="177"/>
      <c r="N28" s="177" t="s">
        <v>180</v>
      </c>
      <c r="O28"/>
      <c r="P28"/>
      <c r="Q28"/>
      <c r="R28"/>
    </row>
    <row r="29" spans="1:18" x14ac:dyDescent="0.45">
      <c r="A29" s="177" t="s">
        <v>41</v>
      </c>
      <c r="B29" s="177" t="s">
        <v>19</v>
      </c>
      <c r="C29" s="177" t="s">
        <v>1861</v>
      </c>
      <c r="D29" s="177" t="s">
        <v>42</v>
      </c>
      <c r="E29" s="177" t="s">
        <v>43</v>
      </c>
      <c r="F29" s="177" t="s">
        <v>21</v>
      </c>
      <c r="G29" s="177">
        <v>36580</v>
      </c>
      <c r="H29" s="177"/>
      <c r="I29" s="177" t="s">
        <v>44</v>
      </c>
      <c r="J29" s="177">
        <v>2013</v>
      </c>
      <c r="K29" s="177"/>
      <c r="L29" s="181" t="s">
        <v>23</v>
      </c>
      <c r="M29" s="177"/>
      <c r="N29" s="177" t="s">
        <v>21</v>
      </c>
      <c r="O29"/>
      <c r="P29"/>
      <c r="Q29"/>
      <c r="R29"/>
    </row>
    <row r="30" spans="1:18" x14ac:dyDescent="0.45">
      <c r="A30" s="177" t="s">
        <v>45</v>
      </c>
      <c r="B30" s="177" t="s">
        <v>19</v>
      </c>
      <c r="C30" s="177" t="s">
        <v>1861</v>
      </c>
      <c r="D30" s="177" t="s">
        <v>46</v>
      </c>
      <c r="E30" s="177" t="s">
        <v>47</v>
      </c>
      <c r="F30" s="177" t="s">
        <v>21</v>
      </c>
      <c r="G30" s="177">
        <v>36757</v>
      </c>
      <c r="H30" s="177"/>
      <c r="I30" s="177" t="s">
        <v>48</v>
      </c>
      <c r="J30" s="177">
        <v>2014</v>
      </c>
      <c r="K30" s="177"/>
      <c r="L30" s="181" t="s">
        <v>23</v>
      </c>
      <c r="M30" s="177"/>
      <c r="N30" s="177" t="s">
        <v>21</v>
      </c>
      <c r="O30"/>
      <c r="P30"/>
      <c r="Q30"/>
      <c r="R30"/>
    </row>
    <row r="31" spans="1:18" x14ac:dyDescent="0.45">
      <c r="A31" s="177" t="s">
        <v>49</v>
      </c>
      <c r="B31" s="177" t="s">
        <v>19</v>
      </c>
      <c r="C31" s="177" t="s">
        <v>1861</v>
      </c>
      <c r="D31" s="177" t="s">
        <v>50</v>
      </c>
      <c r="E31" s="177" t="s">
        <v>51</v>
      </c>
      <c r="F31" s="177" t="s">
        <v>21</v>
      </c>
      <c r="G31" s="177">
        <v>57945</v>
      </c>
      <c r="H31" s="177"/>
      <c r="I31" s="177" t="s">
        <v>52</v>
      </c>
      <c r="J31" s="177">
        <v>2022</v>
      </c>
      <c r="K31" s="177"/>
      <c r="L31" s="181" t="s">
        <v>23</v>
      </c>
      <c r="M31" s="177"/>
      <c r="N31" s="177" t="s">
        <v>21</v>
      </c>
      <c r="O31"/>
      <c r="P31"/>
      <c r="Q31"/>
      <c r="R31"/>
    </row>
    <row r="32" spans="1:18" x14ac:dyDescent="0.45">
      <c r="A32" s="177" t="s">
        <v>53</v>
      </c>
      <c r="B32" s="177" t="s">
        <v>19</v>
      </c>
      <c r="C32" s="177" t="s">
        <v>1861</v>
      </c>
      <c r="D32" s="177" t="s">
        <v>54</v>
      </c>
      <c r="E32" s="177" t="s">
        <v>55</v>
      </c>
      <c r="F32" s="177" t="s">
        <v>21</v>
      </c>
      <c r="G32" s="177">
        <v>57561</v>
      </c>
      <c r="H32" s="177"/>
      <c r="I32" s="180">
        <v>44689</v>
      </c>
      <c r="J32" s="177">
        <v>2022</v>
      </c>
      <c r="K32" s="177"/>
      <c r="L32" s="181" t="s">
        <v>23</v>
      </c>
      <c r="M32" s="177"/>
      <c r="N32" s="177" t="s">
        <v>21</v>
      </c>
      <c r="O32"/>
      <c r="P32"/>
      <c r="Q32"/>
      <c r="R32"/>
    </row>
    <row r="33" spans="1:18" x14ac:dyDescent="0.45">
      <c r="A33" s="177" t="s">
        <v>56</v>
      </c>
      <c r="B33" s="177" t="s">
        <v>19</v>
      </c>
      <c r="C33" s="177" t="s">
        <v>1861</v>
      </c>
      <c r="D33" s="177" t="s">
        <v>57</v>
      </c>
      <c r="E33" s="177" t="s">
        <v>58</v>
      </c>
      <c r="F33" s="177" t="s">
        <v>21</v>
      </c>
      <c r="G33" s="177">
        <v>35620</v>
      </c>
      <c r="H33" s="177">
        <v>35375</v>
      </c>
      <c r="I33" s="177" t="s">
        <v>59</v>
      </c>
      <c r="J33" s="177">
        <v>2013</v>
      </c>
      <c r="K33" s="177" t="s">
        <v>60</v>
      </c>
      <c r="L33" s="184" t="s">
        <v>61</v>
      </c>
      <c r="M33" s="177"/>
      <c r="N33" s="177" t="s">
        <v>21</v>
      </c>
      <c r="O33"/>
      <c r="P33"/>
      <c r="Q33"/>
      <c r="R33"/>
    </row>
    <row r="34" spans="1:18" x14ac:dyDescent="0.45">
      <c r="A34" s="177" t="s">
        <v>62</v>
      </c>
      <c r="B34" s="177" t="s">
        <v>19</v>
      </c>
      <c r="C34" s="177" t="s">
        <v>1861</v>
      </c>
      <c r="D34" s="177" t="s">
        <v>63</v>
      </c>
      <c r="E34" s="177" t="s">
        <v>64</v>
      </c>
      <c r="F34" s="177" t="s">
        <v>21</v>
      </c>
      <c r="G34" s="177">
        <v>35013</v>
      </c>
      <c r="H34" s="177">
        <v>34792</v>
      </c>
      <c r="I34" s="177" t="s">
        <v>65</v>
      </c>
      <c r="J34" s="177">
        <v>2012</v>
      </c>
      <c r="K34" s="177" t="s">
        <v>66</v>
      </c>
      <c r="L34" s="178" t="s">
        <v>30</v>
      </c>
      <c r="M34" s="177"/>
      <c r="N34" s="177" t="s">
        <v>21</v>
      </c>
      <c r="O34"/>
      <c r="P34"/>
      <c r="Q34"/>
      <c r="R34"/>
    </row>
    <row r="35" spans="1:18" x14ac:dyDescent="0.45">
      <c r="A35" s="177" t="s">
        <v>460</v>
      </c>
      <c r="B35" s="177" t="s">
        <v>19</v>
      </c>
      <c r="C35" s="177" t="s">
        <v>1861</v>
      </c>
      <c r="D35" s="177" t="s">
        <v>461</v>
      </c>
      <c r="E35" s="177" t="s">
        <v>462</v>
      </c>
      <c r="F35" s="177" t="s">
        <v>21</v>
      </c>
      <c r="G35" s="177">
        <v>39586</v>
      </c>
      <c r="H35" s="177"/>
      <c r="I35" s="177" t="s">
        <v>463</v>
      </c>
      <c r="J35" s="177">
        <v>2016</v>
      </c>
      <c r="K35" s="177"/>
      <c r="L35" s="181" t="s">
        <v>23</v>
      </c>
      <c r="M35" s="177"/>
      <c r="N35" s="177" t="s">
        <v>21</v>
      </c>
      <c r="O35"/>
      <c r="P35"/>
      <c r="Q35"/>
      <c r="R35"/>
    </row>
    <row r="36" spans="1:18" x14ac:dyDescent="0.45">
      <c r="A36" s="177" t="s">
        <v>464</v>
      </c>
      <c r="B36" s="177" t="s">
        <v>19</v>
      </c>
      <c r="C36" s="177" t="s">
        <v>1861</v>
      </c>
      <c r="D36" s="177" t="s">
        <v>465</v>
      </c>
      <c r="E36" s="177"/>
      <c r="F36" s="177" t="s">
        <v>466</v>
      </c>
      <c r="G36" s="177">
        <v>72315</v>
      </c>
      <c r="H36" s="177"/>
      <c r="I36" s="177" t="s">
        <v>467</v>
      </c>
      <c r="J36" s="177">
        <v>2025</v>
      </c>
      <c r="K36" s="177" t="s">
        <v>78</v>
      </c>
      <c r="L36" s="179" t="s">
        <v>79</v>
      </c>
      <c r="M36" s="177"/>
      <c r="N36" s="177" t="s">
        <v>466</v>
      </c>
      <c r="O36"/>
      <c r="P36"/>
      <c r="Q36"/>
      <c r="R36"/>
    </row>
    <row r="37" spans="1:18" x14ac:dyDescent="0.45">
      <c r="A37" s="177" t="s">
        <v>91</v>
      </c>
      <c r="B37" s="177" t="s">
        <v>19</v>
      </c>
      <c r="C37" s="177" t="s">
        <v>1861</v>
      </c>
      <c r="D37" s="177" t="s">
        <v>92</v>
      </c>
      <c r="E37" s="177"/>
      <c r="F37" s="177" t="s">
        <v>93</v>
      </c>
      <c r="G37" s="177">
        <v>27675</v>
      </c>
      <c r="H37" s="177"/>
      <c r="I37" s="177"/>
      <c r="J37" s="177"/>
      <c r="K37" s="177"/>
      <c r="L37" s="181" t="s">
        <v>23</v>
      </c>
      <c r="M37" s="177" t="s">
        <v>94</v>
      </c>
      <c r="N37" s="177"/>
      <c r="O37"/>
      <c r="P37"/>
      <c r="Q37"/>
      <c r="R37"/>
    </row>
    <row r="38" spans="1:18" x14ac:dyDescent="0.45">
      <c r="A38" s="177" t="s">
        <v>101</v>
      </c>
      <c r="B38" s="177" t="s">
        <v>19</v>
      </c>
      <c r="C38" s="177" t="s">
        <v>1861</v>
      </c>
      <c r="D38" s="177" t="s">
        <v>102</v>
      </c>
      <c r="E38" s="177"/>
      <c r="F38" s="177" t="s">
        <v>103</v>
      </c>
      <c r="G38" s="177" t="s">
        <v>104</v>
      </c>
      <c r="H38" s="177"/>
      <c r="I38" s="177" t="s">
        <v>105</v>
      </c>
      <c r="J38" s="177">
        <v>2024</v>
      </c>
      <c r="K38" s="177" t="s">
        <v>106</v>
      </c>
      <c r="L38" s="182" t="s">
        <v>107</v>
      </c>
      <c r="M38" s="177"/>
      <c r="N38" s="177" t="s">
        <v>103</v>
      </c>
      <c r="O38"/>
      <c r="P38"/>
      <c r="Q38"/>
      <c r="R38"/>
    </row>
    <row r="39" spans="1:18" x14ac:dyDescent="0.45">
      <c r="A39" s="177" t="s">
        <v>570</v>
      </c>
      <c r="B39" s="177" t="s">
        <v>19</v>
      </c>
      <c r="C39" s="177" t="s">
        <v>1861</v>
      </c>
      <c r="D39" s="177" t="s">
        <v>571</v>
      </c>
      <c r="E39" s="177" t="s">
        <v>572</v>
      </c>
      <c r="F39" s="177" t="s">
        <v>21</v>
      </c>
      <c r="G39" s="177">
        <v>39131</v>
      </c>
      <c r="H39" s="177"/>
      <c r="I39" s="177" t="s">
        <v>573</v>
      </c>
      <c r="J39" s="177">
        <v>2016</v>
      </c>
      <c r="K39" s="177"/>
      <c r="L39" s="181" t="s">
        <v>23</v>
      </c>
      <c r="M39" s="177"/>
      <c r="N39" s="177" t="s">
        <v>21</v>
      </c>
      <c r="O39"/>
      <c r="P39"/>
      <c r="Q39"/>
      <c r="R39"/>
    </row>
    <row r="40" spans="1:18" x14ac:dyDescent="0.45">
      <c r="A40" s="177" t="s">
        <v>585</v>
      </c>
      <c r="B40" s="177" t="s">
        <v>19</v>
      </c>
      <c r="C40" s="177" t="s">
        <v>1861</v>
      </c>
      <c r="D40" s="177" t="s">
        <v>586</v>
      </c>
      <c r="E40" s="177" t="s">
        <v>587</v>
      </c>
      <c r="F40" s="177" t="s">
        <v>21</v>
      </c>
      <c r="G40" s="177">
        <v>41724</v>
      </c>
      <c r="H40" s="177">
        <v>41724</v>
      </c>
      <c r="I40" s="177" t="s">
        <v>588</v>
      </c>
      <c r="J40" s="177">
        <v>2017</v>
      </c>
      <c r="K40" s="177" t="s">
        <v>589</v>
      </c>
      <c r="L40" s="178" t="s">
        <v>30</v>
      </c>
      <c r="M40" s="177"/>
      <c r="N40" s="177" t="s">
        <v>21</v>
      </c>
      <c r="O40"/>
      <c r="P40"/>
      <c r="Q40"/>
      <c r="R40"/>
    </row>
    <row r="41" spans="1:18" x14ac:dyDescent="0.45">
      <c r="A41" s="177" t="s">
        <v>118</v>
      </c>
      <c r="B41" s="177" t="s">
        <v>19</v>
      </c>
      <c r="C41" s="177" t="s">
        <v>1861</v>
      </c>
      <c r="D41" s="177" t="s">
        <v>119</v>
      </c>
      <c r="E41" s="177" t="s">
        <v>120</v>
      </c>
      <c r="F41" s="177" t="s">
        <v>21</v>
      </c>
      <c r="G41" s="177">
        <v>36555</v>
      </c>
      <c r="H41" s="177"/>
      <c r="I41" s="180">
        <v>41620</v>
      </c>
      <c r="J41" s="177">
        <v>2013</v>
      </c>
      <c r="K41" s="177"/>
      <c r="L41" s="181" t="s">
        <v>23</v>
      </c>
      <c r="M41" s="177"/>
      <c r="N41" s="177" t="s">
        <v>21</v>
      </c>
      <c r="O41"/>
      <c r="P41"/>
      <c r="Q41"/>
      <c r="R41"/>
    </row>
    <row r="42" spans="1:18" x14ac:dyDescent="0.45">
      <c r="A42" s="177" t="s">
        <v>670</v>
      </c>
      <c r="B42" s="177" t="s">
        <v>19</v>
      </c>
      <c r="C42" s="177" t="s">
        <v>1861</v>
      </c>
      <c r="D42" s="177" t="s">
        <v>671</v>
      </c>
      <c r="E42" s="177" t="s">
        <v>672</v>
      </c>
      <c r="F42" s="177" t="s">
        <v>21</v>
      </c>
      <c r="G42" s="177">
        <v>41392</v>
      </c>
      <c r="H42" s="177"/>
      <c r="I42" s="180">
        <v>42805</v>
      </c>
      <c r="J42" s="177">
        <v>2017</v>
      </c>
      <c r="K42" s="177"/>
      <c r="L42" s="181" t="s">
        <v>23</v>
      </c>
      <c r="M42" s="177"/>
      <c r="N42" s="177" t="s">
        <v>21</v>
      </c>
      <c r="O42"/>
      <c r="P42"/>
      <c r="Q42"/>
      <c r="R42"/>
    </row>
    <row r="43" spans="1:18" x14ac:dyDescent="0.45">
      <c r="A43" s="177" t="s">
        <v>726</v>
      </c>
      <c r="B43" s="177" t="s">
        <v>19</v>
      </c>
      <c r="C43" s="177" t="s">
        <v>1861</v>
      </c>
      <c r="D43" s="177" t="s">
        <v>727</v>
      </c>
      <c r="E43" s="177" t="s">
        <v>728</v>
      </c>
      <c r="F43" s="177" t="s">
        <v>21</v>
      </c>
      <c r="G43" s="177">
        <v>37166</v>
      </c>
      <c r="H43" s="177">
        <v>37166</v>
      </c>
      <c r="I43" s="177" t="s">
        <v>729</v>
      </c>
      <c r="J43" s="177">
        <v>2014</v>
      </c>
      <c r="K43" s="177" t="s">
        <v>155</v>
      </c>
      <c r="L43" s="178" t="s">
        <v>30</v>
      </c>
      <c r="M43" s="177"/>
      <c r="N43" s="177" t="s">
        <v>21</v>
      </c>
      <c r="O43"/>
      <c r="P43"/>
      <c r="Q43"/>
      <c r="R43"/>
    </row>
    <row r="44" spans="1:18" x14ac:dyDescent="0.45">
      <c r="A44" s="183" t="s">
        <v>2293</v>
      </c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/>
      <c r="P44"/>
      <c r="Q44"/>
      <c r="R44"/>
    </row>
    <row r="45" spans="1:18" x14ac:dyDescent="0.45">
      <c r="A45" s="177" t="s">
        <v>183</v>
      </c>
      <c r="B45" s="177" t="s">
        <v>19</v>
      </c>
      <c r="C45" s="177" t="s">
        <v>1885</v>
      </c>
      <c r="D45" s="177" t="s">
        <v>184</v>
      </c>
      <c r="E45" s="177" t="s">
        <v>185</v>
      </c>
      <c r="F45" s="177" t="s">
        <v>21</v>
      </c>
      <c r="G45" s="177">
        <v>38772</v>
      </c>
      <c r="H45" s="177">
        <v>38772</v>
      </c>
      <c r="I45" s="177" t="s">
        <v>186</v>
      </c>
      <c r="J45" s="177">
        <v>2015</v>
      </c>
      <c r="K45" s="177" t="s">
        <v>187</v>
      </c>
      <c r="L45" s="178" t="s">
        <v>30</v>
      </c>
      <c r="M45" s="177"/>
      <c r="N45" s="177" t="s">
        <v>21</v>
      </c>
      <c r="O45"/>
      <c r="P45"/>
      <c r="Q45"/>
      <c r="R45"/>
    </row>
    <row r="46" spans="1:18" x14ac:dyDescent="0.45">
      <c r="A46" s="177" t="s">
        <v>188</v>
      </c>
      <c r="B46" s="177" t="s">
        <v>19</v>
      </c>
      <c r="C46" s="177" t="s">
        <v>1885</v>
      </c>
      <c r="D46" s="177" t="s">
        <v>189</v>
      </c>
      <c r="E46" s="177" t="s">
        <v>190</v>
      </c>
      <c r="F46" s="177" t="s">
        <v>21</v>
      </c>
      <c r="G46" s="177">
        <v>37965</v>
      </c>
      <c r="H46" s="177"/>
      <c r="I46" s="177" t="s">
        <v>191</v>
      </c>
      <c r="J46" s="177">
        <v>2015</v>
      </c>
      <c r="K46" s="177"/>
      <c r="L46" s="181" t="s">
        <v>23</v>
      </c>
      <c r="M46" s="177"/>
      <c r="N46" s="177" t="s">
        <v>21</v>
      </c>
      <c r="O46"/>
      <c r="P46"/>
      <c r="Q46"/>
      <c r="R46"/>
    </row>
    <row r="47" spans="1:18" x14ac:dyDescent="0.45">
      <c r="A47" s="177" t="s">
        <v>192</v>
      </c>
      <c r="B47" s="177" t="s">
        <v>19</v>
      </c>
      <c r="C47" s="177" t="s">
        <v>1885</v>
      </c>
      <c r="D47" s="177" t="s">
        <v>193</v>
      </c>
      <c r="E47" s="177" t="s">
        <v>194</v>
      </c>
      <c r="F47" s="177" t="s">
        <v>21</v>
      </c>
      <c r="G47" s="177">
        <v>36251</v>
      </c>
      <c r="H47" s="177"/>
      <c r="I47" s="177" t="s">
        <v>195</v>
      </c>
      <c r="J47" s="177">
        <v>2013</v>
      </c>
      <c r="K47" s="177"/>
      <c r="L47" s="181" t="s">
        <v>23</v>
      </c>
      <c r="M47" s="177"/>
      <c r="N47" s="177" t="s">
        <v>21</v>
      </c>
      <c r="O47"/>
      <c r="P47"/>
      <c r="Q47"/>
      <c r="R47"/>
    </row>
    <row r="48" spans="1:18" x14ac:dyDescent="0.45">
      <c r="A48" s="177" t="s">
        <v>196</v>
      </c>
      <c r="B48" s="177" t="s">
        <v>19</v>
      </c>
      <c r="C48" s="177" t="s">
        <v>1885</v>
      </c>
      <c r="D48" s="177" t="s">
        <v>197</v>
      </c>
      <c r="E48" s="177" t="s">
        <v>198</v>
      </c>
      <c r="F48" s="177" t="s">
        <v>21</v>
      </c>
      <c r="G48" s="177">
        <v>38727</v>
      </c>
      <c r="H48" s="177"/>
      <c r="I48" s="177" t="s">
        <v>199</v>
      </c>
      <c r="J48" s="177">
        <v>2015</v>
      </c>
      <c r="K48" s="177"/>
      <c r="L48" s="181" t="s">
        <v>23</v>
      </c>
      <c r="M48" s="177"/>
      <c r="N48" s="177" t="s">
        <v>21</v>
      </c>
      <c r="O48"/>
      <c r="P48"/>
      <c r="Q48"/>
      <c r="R48"/>
    </row>
    <row r="49" spans="1:18" x14ac:dyDescent="0.45">
      <c r="A49" s="177" t="s">
        <v>204</v>
      </c>
      <c r="B49" s="177" t="s">
        <v>19</v>
      </c>
      <c r="C49" s="177" t="s">
        <v>1885</v>
      </c>
      <c r="D49" s="177" t="s">
        <v>205</v>
      </c>
      <c r="E49" s="177" t="s">
        <v>206</v>
      </c>
      <c r="F49" s="177" t="s">
        <v>21</v>
      </c>
      <c r="G49" s="177">
        <v>35619</v>
      </c>
      <c r="H49" s="177" t="s">
        <v>207</v>
      </c>
      <c r="I49" s="177" t="s">
        <v>59</v>
      </c>
      <c r="J49" s="177">
        <v>2013</v>
      </c>
      <c r="K49" s="177" t="s">
        <v>60</v>
      </c>
      <c r="L49" s="184" t="s">
        <v>61</v>
      </c>
      <c r="M49" s="177"/>
      <c r="N49" s="177" t="s">
        <v>21</v>
      </c>
      <c r="O49"/>
      <c r="P49"/>
      <c r="Q49"/>
      <c r="R49"/>
    </row>
    <row r="50" spans="1:18" x14ac:dyDescent="0.45">
      <c r="A50" s="177" t="s">
        <v>208</v>
      </c>
      <c r="B50" s="177" t="s">
        <v>19</v>
      </c>
      <c r="C50" s="177" t="s">
        <v>1885</v>
      </c>
      <c r="D50" s="177" t="s">
        <v>209</v>
      </c>
      <c r="E50" s="177" t="s">
        <v>210</v>
      </c>
      <c r="F50" s="177" t="s">
        <v>21</v>
      </c>
      <c r="G50" s="177">
        <v>55249</v>
      </c>
      <c r="H50" s="177"/>
      <c r="I50" s="177" t="s">
        <v>211</v>
      </c>
      <c r="J50" s="177">
        <v>2021</v>
      </c>
      <c r="K50" s="177" t="s">
        <v>85</v>
      </c>
      <c r="L50" s="178" t="s">
        <v>30</v>
      </c>
      <c r="M50" s="177"/>
      <c r="N50" s="177" t="s">
        <v>212</v>
      </c>
      <c r="O50"/>
      <c r="P50"/>
      <c r="Q50"/>
      <c r="R50"/>
    </row>
    <row r="51" spans="1:18" x14ac:dyDescent="0.45">
      <c r="A51" s="177" t="s">
        <v>213</v>
      </c>
      <c r="B51" s="177" t="s">
        <v>19</v>
      </c>
      <c r="C51" s="177" t="s">
        <v>1885</v>
      </c>
      <c r="D51" s="177" t="s">
        <v>214</v>
      </c>
      <c r="E51" s="177" t="s">
        <v>215</v>
      </c>
      <c r="F51" s="177" t="s">
        <v>21</v>
      </c>
      <c r="G51" s="177">
        <v>36758</v>
      </c>
      <c r="H51" s="177"/>
      <c r="I51" s="177" t="s">
        <v>48</v>
      </c>
      <c r="J51" s="177">
        <v>2014</v>
      </c>
      <c r="K51" s="177"/>
      <c r="L51" s="181" t="s">
        <v>23</v>
      </c>
      <c r="M51" s="177"/>
      <c r="N51" s="177" t="s">
        <v>21</v>
      </c>
      <c r="O51"/>
      <c r="P51"/>
      <c r="Q51"/>
      <c r="R51"/>
    </row>
    <row r="52" spans="1:18" x14ac:dyDescent="0.45">
      <c r="A52" s="177" t="s">
        <v>221</v>
      </c>
      <c r="B52" s="177" t="s">
        <v>19</v>
      </c>
      <c r="C52" s="177" t="s">
        <v>1885</v>
      </c>
      <c r="D52" s="177" t="s">
        <v>222</v>
      </c>
      <c r="E52" s="177" t="s">
        <v>223</v>
      </c>
      <c r="F52" s="177" t="s">
        <v>21</v>
      </c>
      <c r="G52" s="177">
        <v>39292</v>
      </c>
      <c r="H52" s="177"/>
      <c r="I52" s="177" t="s">
        <v>224</v>
      </c>
      <c r="J52" s="177">
        <v>2016</v>
      </c>
      <c r="K52" s="177"/>
      <c r="L52" s="181" t="s">
        <v>23</v>
      </c>
      <c r="M52" s="177"/>
      <c r="N52" s="177" t="s">
        <v>21</v>
      </c>
      <c r="O52"/>
      <c r="P52"/>
      <c r="Q52"/>
      <c r="R52"/>
    </row>
    <row r="53" spans="1:18" x14ac:dyDescent="0.45">
      <c r="A53" s="177" t="s">
        <v>225</v>
      </c>
      <c r="B53" s="177" t="s">
        <v>19</v>
      </c>
      <c r="C53" s="177" t="s">
        <v>1885</v>
      </c>
      <c r="D53" s="177" t="s">
        <v>226</v>
      </c>
      <c r="E53" s="177" t="s">
        <v>227</v>
      </c>
      <c r="F53" s="177" t="s">
        <v>21</v>
      </c>
      <c r="G53" s="177">
        <v>38452</v>
      </c>
      <c r="H53" s="177"/>
      <c r="I53" s="177" t="s">
        <v>228</v>
      </c>
      <c r="J53" s="177">
        <v>2015</v>
      </c>
      <c r="K53" s="177"/>
      <c r="L53" s="181" t="s">
        <v>23</v>
      </c>
      <c r="M53" s="177"/>
      <c r="N53" s="177" t="s">
        <v>21</v>
      </c>
      <c r="O53"/>
      <c r="P53"/>
      <c r="Q53"/>
      <c r="R53"/>
    </row>
    <row r="54" spans="1:18" x14ac:dyDescent="0.45">
      <c r="A54" s="177" t="s">
        <v>237</v>
      </c>
      <c r="B54" s="177" t="s">
        <v>19</v>
      </c>
      <c r="C54" s="177" t="s">
        <v>1885</v>
      </c>
      <c r="D54" s="177" t="s">
        <v>238</v>
      </c>
      <c r="E54" s="177" t="s">
        <v>239</v>
      </c>
      <c r="F54" s="177" t="s">
        <v>21</v>
      </c>
      <c r="G54" s="177">
        <v>37512</v>
      </c>
      <c r="H54" s="177">
        <v>37512</v>
      </c>
      <c r="I54" s="180">
        <v>41954</v>
      </c>
      <c r="J54" s="177">
        <v>2014</v>
      </c>
      <c r="K54" s="177" t="s">
        <v>155</v>
      </c>
      <c r="L54" s="178" t="s">
        <v>30</v>
      </c>
      <c r="M54" s="177"/>
      <c r="N54" s="177" t="s">
        <v>21</v>
      </c>
      <c r="O54"/>
      <c r="P54"/>
      <c r="Q54"/>
      <c r="R54"/>
    </row>
    <row r="55" spans="1:18" x14ac:dyDescent="0.45">
      <c r="A55" s="177" t="s">
        <v>244</v>
      </c>
      <c r="B55" s="177" t="s">
        <v>19</v>
      </c>
      <c r="C55" s="177" t="s">
        <v>1885</v>
      </c>
      <c r="D55" s="177" t="s">
        <v>245</v>
      </c>
      <c r="E55" s="177"/>
      <c r="F55" s="177" t="s">
        <v>76</v>
      </c>
      <c r="G55" s="177" t="s">
        <v>246</v>
      </c>
      <c r="H55" s="177"/>
      <c r="I55" s="177" t="s">
        <v>247</v>
      </c>
      <c r="J55" s="177">
        <v>2022</v>
      </c>
      <c r="K55" s="177" t="s">
        <v>78</v>
      </c>
      <c r="L55" s="179" t="s">
        <v>79</v>
      </c>
      <c r="M55" s="177"/>
      <c r="N55" s="177" t="s">
        <v>76</v>
      </c>
      <c r="O55"/>
      <c r="P55"/>
      <c r="Q55"/>
      <c r="R55"/>
    </row>
    <row r="56" spans="1:18" x14ac:dyDescent="0.45">
      <c r="A56" s="177" t="s">
        <v>249</v>
      </c>
      <c r="B56" s="177" t="s">
        <v>19</v>
      </c>
      <c r="C56" s="177" t="s">
        <v>1885</v>
      </c>
      <c r="D56" s="177" t="s">
        <v>250</v>
      </c>
      <c r="E56" s="177" t="s">
        <v>251</v>
      </c>
      <c r="F56" s="177" t="s">
        <v>21</v>
      </c>
      <c r="G56" s="177">
        <v>36329</v>
      </c>
      <c r="H56" s="177">
        <v>36329</v>
      </c>
      <c r="I56" s="180">
        <v>41557</v>
      </c>
      <c r="J56" s="177">
        <v>2013</v>
      </c>
      <c r="K56" s="177" t="s">
        <v>252</v>
      </c>
      <c r="L56" s="178" t="s">
        <v>30</v>
      </c>
      <c r="M56" s="177"/>
      <c r="N56" s="177" t="s">
        <v>21</v>
      </c>
      <c r="O56"/>
      <c r="P56"/>
      <c r="Q56"/>
      <c r="R56"/>
    </row>
    <row r="57" spans="1:18" x14ac:dyDescent="0.45">
      <c r="A57" s="177" t="s">
        <v>253</v>
      </c>
      <c r="B57" s="177" t="s">
        <v>19</v>
      </c>
      <c r="C57" s="177" t="s">
        <v>1885</v>
      </c>
      <c r="D57" s="177" t="s">
        <v>254</v>
      </c>
      <c r="E57" s="177" t="s">
        <v>255</v>
      </c>
      <c r="F57" s="177" t="s">
        <v>21</v>
      </c>
      <c r="G57" s="177">
        <v>61700</v>
      </c>
      <c r="H57" s="177"/>
      <c r="I57" s="177" t="s">
        <v>256</v>
      </c>
      <c r="J57" s="177">
        <v>2023</v>
      </c>
      <c r="K57" s="177"/>
      <c r="L57" s="181" t="s">
        <v>23</v>
      </c>
      <c r="M57" s="177"/>
      <c r="N57" s="177" t="s">
        <v>90</v>
      </c>
      <c r="O57"/>
      <c r="P57"/>
      <c r="Q57"/>
      <c r="R57"/>
    </row>
    <row r="58" spans="1:18" x14ac:dyDescent="0.45">
      <c r="A58" s="177" t="s">
        <v>257</v>
      </c>
      <c r="B58" s="177" t="s">
        <v>19</v>
      </c>
      <c r="C58" s="177" t="s">
        <v>1885</v>
      </c>
      <c r="D58" s="177" t="s">
        <v>258</v>
      </c>
      <c r="E58" s="177"/>
      <c r="F58" s="177" t="s">
        <v>76</v>
      </c>
      <c r="G58" s="177" t="s">
        <v>259</v>
      </c>
      <c r="H58" s="177"/>
      <c r="I58" s="177" t="s">
        <v>260</v>
      </c>
      <c r="J58" s="177">
        <v>2022</v>
      </c>
      <c r="K58" s="177" t="s">
        <v>106</v>
      </c>
      <c r="L58" s="182" t="s">
        <v>107</v>
      </c>
      <c r="M58" s="177"/>
      <c r="N58" s="177" t="s">
        <v>76</v>
      </c>
      <c r="O58"/>
      <c r="P58"/>
      <c r="Q58"/>
      <c r="R58"/>
    </row>
    <row r="59" spans="1:18" x14ac:dyDescent="0.45">
      <c r="A59" s="177" t="s">
        <v>659</v>
      </c>
      <c r="B59" s="177" t="s">
        <v>19</v>
      </c>
      <c r="C59" s="177" t="s">
        <v>1885</v>
      </c>
      <c r="D59" s="177" t="s">
        <v>660</v>
      </c>
      <c r="E59" s="177" t="s">
        <v>661</v>
      </c>
      <c r="F59" s="177" t="s">
        <v>21</v>
      </c>
      <c r="G59" s="177">
        <v>54575</v>
      </c>
      <c r="H59" s="177"/>
      <c r="I59" s="177" t="s">
        <v>662</v>
      </c>
      <c r="J59" s="177">
        <v>2021</v>
      </c>
      <c r="K59" s="177" t="s">
        <v>663</v>
      </c>
      <c r="L59" s="178" t="s">
        <v>30</v>
      </c>
      <c r="M59" s="177"/>
      <c r="N59" s="177" t="s">
        <v>21</v>
      </c>
      <c r="O59"/>
      <c r="P59"/>
      <c r="Q59"/>
      <c r="R59"/>
    </row>
    <row r="60" spans="1:18" x14ac:dyDescent="0.45">
      <c r="A60" s="177" t="s">
        <v>270</v>
      </c>
      <c r="B60" s="177" t="s">
        <v>19</v>
      </c>
      <c r="C60" s="177" t="s">
        <v>1885</v>
      </c>
      <c r="D60" s="177" t="s">
        <v>271</v>
      </c>
      <c r="E60" s="177" t="s">
        <v>239</v>
      </c>
      <c r="F60" s="177" t="s">
        <v>21</v>
      </c>
      <c r="G60" s="177">
        <v>37510</v>
      </c>
      <c r="H60" s="177">
        <v>37510</v>
      </c>
      <c r="I60" s="180">
        <v>41954</v>
      </c>
      <c r="J60" s="177">
        <v>2014</v>
      </c>
      <c r="K60" s="177" t="s">
        <v>272</v>
      </c>
      <c r="L60" s="184" t="s">
        <v>273</v>
      </c>
      <c r="M60" s="177"/>
      <c r="N60" s="177" t="s">
        <v>21</v>
      </c>
      <c r="O60"/>
      <c r="P60"/>
      <c r="Q60"/>
      <c r="R60"/>
    </row>
    <row r="61" spans="1:18" x14ac:dyDescent="0.45">
      <c r="A61" s="177" t="s">
        <v>743</v>
      </c>
      <c r="B61" s="177" t="s">
        <v>19</v>
      </c>
      <c r="C61" s="177" t="s">
        <v>1885</v>
      </c>
      <c r="D61" s="177" t="s">
        <v>744</v>
      </c>
      <c r="E61" s="177" t="s">
        <v>745</v>
      </c>
      <c r="F61" s="177" t="s">
        <v>21</v>
      </c>
      <c r="G61" s="177">
        <v>41726</v>
      </c>
      <c r="H61" s="177">
        <v>41726</v>
      </c>
      <c r="I61" s="177" t="s">
        <v>588</v>
      </c>
      <c r="J61" s="177">
        <v>2017</v>
      </c>
      <c r="K61" s="177" t="s">
        <v>220</v>
      </c>
      <c r="L61" s="178" t="s">
        <v>30</v>
      </c>
      <c r="M61" s="177"/>
      <c r="N61" s="177" t="s">
        <v>21</v>
      </c>
      <c r="O61"/>
      <c r="P61"/>
      <c r="Q61"/>
      <c r="R61"/>
    </row>
    <row r="62" spans="1:18" x14ac:dyDescent="0.45">
      <c r="A62" s="183" t="s">
        <v>2294</v>
      </c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/>
      <c r="P62"/>
      <c r="Q62"/>
      <c r="R62"/>
    </row>
    <row r="63" spans="1:18" x14ac:dyDescent="0.45">
      <c r="A63" s="177" t="s">
        <v>446</v>
      </c>
      <c r="B63" s="177" t="s">
        <v>19</v>
      </c>
      <c r="C63" s="177" t="s">
        <v>1903</v>
      </c>
      <c r="D63" s="177" t="s">
        <v>447</v>
      </c>
      <c r="E63" s="177"/>
      <c r="F63" s="177" t="s">
        <v>93</v>
      </c>
      <c r="G63" s="177">
        <v>650</v>
      </c>
      <c r="H63" s="177"/>
      <c r="I63" s="177"/>
      <c r="J63" s="177"/>
      <c r="K63" s="177"/>
      <c r="L63" s="181" t="s">
        <v>23</v>
      </c>
      <c r="M63" s="177"/>
      <c r="N63" s="177"/>
      <c r="O63"/>
      <c r="P63"/>
      <c r="Q63"/>
      <c r="R63"/>
    </row>
    <row r="64" spans="1:18" x14ac:dyDescent="0.45">
      <c r="A64" s="177" t="s">
        <v>469</v>
      </c>
      <c r="B64" s="177" t="s">
        <v>19</v>
      </c>
      <c r="C64" s="177" t="s">
        <v>1903</v>
      </c>
      <c r="D64" s="177" t="s">
        <v>470</v>
      </c>
      <c r="E64" s="177"/>
      <c r="F64" s="177" t="s">
        <v>76</v>
      </c>
      <c r="G64" s="177">
        <v>74060</v>
      </c>
      <c r="H64" s="177"/>
      <c r="I64" s="177" t="s">
        <v>471</v>
      </c>
      <c r="J64" s="177">
        <v>2026</v>
      </c>
      <c r="K64" s="177" t="s">
        <v>78</v>
      </c>
      <c r="L64" s="179" t="s">
        <v>79</v>
      </c>
      <c r="M64" s="177"/>
      <c r="N64" s="177" t="s">
        <v>76</v>
      </c>
      <c r="O64"/>
      <c r="P64"/>
      <c r="Q64"/>
      <c r="R64"/>
    </row>
    <row r="65" spans="1:18" x14ac:dyDescent="0.45">
      <c r="A65" s="177" t="s">
        <v>74</v>
      </c>
      <c r="B65" s="177" t="s">
        <v>19</v>
      </c>
      <c r="C65" s="177" t="s">
        <v>1903</v>
      </c>
      <c r="D65" s="177" t="s">
        <v>75</v>
      </c>
      <c r="E65" s="177"/>
      <c r="F65" s="177" t="s">
        <v>76</v>
      </c>
      <c r="G65" s="177" t="s">
        <v>77</v>
      </c>
      <c r="H65" s="177"/>
      <c r="I65" s="180">
        <v>44381</v>
      </c>
      <c r="J65" s="177">
        <v>2021</v>
      </c>
      <c r="K65" s="177" t="s">
        <v>78</v>
      </c>
      <c r="L65" s="179" t="s">
        <v>79</v>
      </c>
      <c r="M65" s="177"/>
      <c r="N65" s="177" t="s">
        <v>76</v>
      </c>
      <c r="O65"/>
      <c r="P65"/>
      <c r="Q65"/>
      <c r="R65"/>
    </row>
    <row r="66" spans="1:18" x14ac:dyDescent="0.45">
      <c r="A66" s="177" t="s">
        <v>200</v>
      </c>
      <c r="B66" s="177" t="s">
        <v>19</v>
      </c>
      <c r="C66" s="177" t="s">
        <v>1903</v>
      </c>
      <c r="D66" s="177" t="s">
        <v>201</v>
      </c>
      <c r="E66" s="177" t="s">
        <v>202</v>
      </c>
      <c r="F66" s="177" t="s">
        <v>21</v>
      </c>
      <c r="G66" s="177">
        <v>36581</v>
      </c>
      <c r="H66" s="177">
        <v>36581</v>
      </c>
      <c r="I66" s="177" t="s">
        <v>44</v>
      </c>
      <c r="J66" s="177">
        <v>2013</v>
      </c>
      <c r="K66" s="177" t="s">
        <v>203</v>
      </c>
      <c r="L66" s="178" t="s">
        <v>30</v>
      </c>
      <c r="M66" s="177"/>
      <c r="N66" s="177" t="s">
        <v>21</v>
      </c>
      <c r="O66"/>
      <c r="P66"/>
      <c r="Q66"/>
      <c r="R66"/>
    </row>
    <row r="67" spans="1:18" x14ac:dyDescent="0.45">
      <c r="A67" s="177" t="s">
        <v>233</v>
      </c>
      <c r="B67" s="177" t="s">
        <v>19</v>
      </c>
      <c r="C67" s="177" t="s">
        <v>1903</v>
      </c>
      <c r="D67" s="177" t="s">
        <v>234</v>
      </c>
      <c r="E67" s="177" t="s">
        <v>235</v>
      </c>
      <c r="F67" s="177" t="s">
        <v>21</v>
      </c>
      <c r="G67" s="177">
        <v>38401</v>
      </c>
      <c r="H67" s="177">
        <v>38401</v>
      </c>
      <c r="I67" s="180">
        <v>42256</v>
      </c>
      <c r="J67" s="177">
        <v>2015</v>
      </c>
      <c r="K67" s="177" t="s">
        <v>236</v>
      </c>
      <c r="L67" s="178" t="s">
        <v>30</v>
      </c>
      <c r="M67" s="177"/>
      <c r="N67" s="177" t="s">
        <v>21</v>
      </c>
      <c r="O67"/>
      <c r="P67"/>
      <c r="Q67"/>
      <c r="R67"/>
    </row>
    <row r="68" spans="1:18" x14ac:dyDescent="0.45">
      <c r="A68" s="177" t="s">
        <v>482</v>
      </c>
      <c r="B68" s="177" t="s">
        <v>19</v>
      </c>
      <c r="C68" s="177" t="s">
        <v>1903</v>
      </c>
      <c r="D68" s="177" t="s">
        <v>483</v>
      </c>
      <c r="E68" s="177"/>
      <c r="F68" s="177" t="s">
        <v>1912</v>
      </c>
      <c r="G68" s="177" t="s">
        <v>484</v>
      </c>
      <c r="H68" s="177" t="s">
        <v>485</v>
      </c>
      <c r="I68" s="177"/>
      <c r="J68" s="177"/>
      <c r="K68" s="177" t="s">
        <v>302</v>
      </c>
      <c r="L68" s="185" t="s">
        <v>280</v>
      </c>
      <c r="M68" s="177" t="s">
        <v>307</v>
      </c>
      <c r="N68" s="177"/>
      <c r="O68"/>
      <c r="P68"/>
      <c r="Q68"/>
      <c r="R68"/>
    </row>
    <row r="69" spans="1:18" x14ac:dyDescent="0.45">
      <c r="A69" s="177" t="s">
        <v>518</v>
      </c>
      <c r="B69" s="177" t="s">
        <v>19</v>
      </c>
      <c r="C69" s="177" t="s">
        <v>1903</v>
      </c>
      <c r="D69" s="177" t="s">
        <v>519</v>
      </c>
      <c r="E69" s="177"/>
      <c r="F69" s="177" t="s">
        <v>1912</v>
      </c>
      <c r="G69" s="177" t="s">
        <v>520</v>
      </c>
      <c r="H69" s="177" t="s">
        <v>521</v>
      </c>
      <c r="I69" s="177"/>
      <c r="J69" s="177"/>
      <c r="K69" s="177" t="s">
        <v>302</v>
      </c>
      <c r="L69" s="185" t="s">
        <v>280</v>
      </c>
      <c r="M69" s="177" t="s">
        <v>522</v>
      </c>
      <c r="N69" s="177" t="s">
        <v>290</v>
      </c>
      <c r="O69"/>
      <c r="P69"/>
      <c r="Q69"/>
      <c r="R69"/>
    </row>
    <row r="70" spans="1:18" x14ac:dyDescent="0.45">
      <c r="A70" s="177" t="s">
        <v>524</v>
      </c>
      <c r="B70" s="177" t="s">
        <v>19</v>
      </c>
      <c r="C70" s="177" t="s">
        <v>1903</v>
      </c>
      <c r="D70" s="177" t="s">
        <v>525</v>
      </c>
      <c r="E70" s="177"/>
      <c r="F70" s="177" t="s">
        <v>1912</v>
      </c>
      <c r="G70" s="177" t="s">
        <v>526</v>
      </c>
      <c r="H70" s="177" t="s">
        <v>527</v>
      </c>
      <c r="I70" s="177"/>
      <c r="J70" s="177"/>
      <c r="K70" s="177" t="s">
        <v>302</v>
      </c>
      <c r="L70" s="185" t="s">
        <v>280</v>
      </c>
      <c r="M70" s="177" t="s">
        <v>528</v>
      </c>
      <c r="N70" s="177" t="s">
        <v>290</v>
      </c>
      <c r="O70"/>
      <c r="P70"/>
      <c r="Q70"/>
      <c r="R70"/>
    </row>
    <row r="71" spans="1:18" x14ac:dyDescent="0.45">
      <c r="A71" s="177" t="s">
        <v>529</v>
      </c>
      <c r="B71" s="177" t="s">
        <v>19</v>
      </c>
      <c r="C71" s="177" t="s">
        <v>1903</v>
      </c>
      <c r="D71" s="177" t="s">
        <v>530</v>
      </c>
      <c r="E71" s="177"/>
      <c r="F71" s="177" t="s">
        <v>1912</v>
      </c>
      <c r="G71" s="177" t="s">
        <v>531</v>
      </c>
      <c r="H71" s="177" t="s">
        <v>532</v>
      </c>
      <c r="I71" s="177"/>
      <c r="J71" s="177"/>
      <c r="K71" s="177" t="s">
        <v>302</v>
      </c>
      <c r="L71" s="185" t="s">
        <v>280</v>
      </c>
      <c r="M71" s="177" t="s">
        <v>533</v>
      </c>
      <c r="N71" s="177" t="s">
        <v>290</v>
      </c>
      <c r="O71"/>
      <c r="P71"/>
      <c r="Q71"/>
      <c r="R71"/>
    </row>
    <row r="72" spans="1:18" x14ac:dyDescent="0.45">
      <c r="A72" s="177" t="s">
        <v>534</v>
      </c>
      <c r="B72" s="177" t="s">
        <v>19</v>
      </c>
      <c r="C72" s="177" t="s">
        <v>1903</v>
      </c>
      <c r="D72" s="177" t="s">
        <v>535</v>
      </c>
      <c r="E72" s="177"/>
      <c r="F72" s="177" t="s">
        <v>1912</v>
      </c>
      <c r="G72" s="177" t="s">
        <v>536</v>
      </c>
      <c r="H72" s="177" t="s">
        <v>537</v>
      </c>
      <c r="I72" s="177"/>
      <c r="J72" s="177"/>
      <c r="K72" s="177" t="s">
        <v>385</v>
      </c>
      <c r="L72" s="179" t="s">
        <v>386</v>
      </c>
      <c r="M72" s="177" t="s">
        <v>528</v>
      </c>
      <c r="N72" s="177" t="s">
        <v>538</v>
      </c>
      <c r="O72"/>
      <c r="P72"/>
      <c r="Q72"/>
      <c r="R72"/>
    </row>
    <row r="73" spans="1:18" x14ac:dyDescent="0.45">
      <c r="A73" s="177" t="s">
        <v>543</v>
      </c>
      <c r="B73" s="177" t="s">
        <v>19</v>
      </c>
      <c r="C73" s="177" t="s">
        <v>1903</v>
      </c>
      <c r="D73" s="177" t="s">
        <v>544</v>
      </c>
      <c r="E73" s="177"/>
      <c r="F73" s="177" t="s">
        <v>1912</v>
      </c>
      <c r="G73" s="177" t="s">
        <v>545</v>
      </c>
      <c r="H73" s="177" t="s">
        <v>546</v>
      </c>
      <c r="I73" s="177"/>
      <c r="J73" s="177"/>
      <c r="K73" s="177" t="s">
        <v>302</v>
      </c>
      <c r="L73" s="185" t="s">
        <v>280</v>
      </c>
      <c r="M73" s="177" t="s">
        <v>547</v>
      </c>
      <c r="N73" s="177" t="s">
        <v>290</v>
      </c>
      <c r="O73"/>
      <c r="P73"/>
      <c r="Q73"/>
      <c r="R73"/>
    </row>
    <row r="74" spans="1:18" x14ac:dyDescent="0.45">
      <c r="A74" s="177" t="s">
        <v>565</v>
      </c>
      <c r="B74" s="177" t="s">
        <v>19</v>
      </c>
      <c r="C74" s="177" t="s">
        <v>1903</v>
      </c>
      <c r="D74" s="177" t="s">
        <v>566</v>
      </c>
      <c r="E74" s="177"/>
      <c r="F74" s="177" t="s">
        <v>1912</v>
      </c>
      <c r="G74" s="177" t="s">
        <v>567</v>
      </c>
      <c r="H74" s="177" t="s">
        <v>568</v>
      </c>
      <c r="I74" s="177"/>
      <c r="J74" s="177"/>
      <c r="K74" s="177" t="s">
        <v>302</v>
      </c>
      <c r="L74" s="185" t="s">
        <v>280</v>
      </c>
      <c r="M74" s="177" t="s">
        <v>569</v>
      </c>
      <c r="N74" s="177" t="s">
        <v>290</v>
      </c>
      <c r="O74"/>
      <c r="P74"/>
      <c r="Q74"/>
      <c r="R74"/>
    </row>
    <row r="75" spans="1:18" x14ac:dyDescent="0.45">
      <c r="A75" s="177" t="s">
        <v>581</v>
      </c>
      <c r="B75" s="177" t="s">
        <v>19</v>
      </c>
      <c r="C75" s="177" t="s">
        <v>1903</v>
      </c>
      <c r="D75" s="177" t="s">
        <v>582</v>
      </c>
      <c r="E75" s="177" t="s">
        <v>583</v>
      </c>
      <c r="F75" s="177" t="s">
        <v>21</v>
      </c>
      <c r="G75" s="177">
        <v>37885</v>
      </c>
      <c r="H75" s="177">
        <v>37885</v>
      </c>
      <c r="I75" s="180">
        <v>42038</v>
      </c>
      <c r="J75" s="177">
        <v>2015</v>
      </c>
      <c r="K75" s="177" t="s">
        <v>584</v>
      </c>
      <c r="L75" s="178" t="s">
        <v>30</v>
      </c>
      <c r="M75" s="177"/>
      <c r="N75" s="177" t="s">
        <v>21</v>
      </c>
      <c r="O75"/>
      <c r="P75"/>
      <c r="Q75"/>
      <c r="R75"/>
    </row>
    <row r="76" spans="1:18" x14ac:dyDescent="0.45">
      <c r="A76" s="177" t="s">
        <v>590</v>
      </c>
      <c r="B76" s="177" t="s">
        <v>19</v>
      </c>
      <c r="C76" s="177" t="s">
        <v>1903</v>
      </c>
      <c r="D76" s="177" t="s">
        <v>591</v>
      </c>
      <c r="E76" s="177" t="s">
        <v>592</v>
      </c>
      <c r="F76" s="177" t="s">
        <v>21</v>
      </c>
      <c r="G76" s="177">
        <v>39316</v>
      </c>
      <c r="H76" s="177">
        <v>39316</v>
      </c>
      <c r="I76" s="177" t="s">
        <v>593</v>
      </c>
      <c r="J76" s="177">
        <v>2016</v>
      </c>
      <c r="K76" s="177" t="s">
        <v>232</v>
      </c>
      <c r="L76" s="178" t="s">
        <v>30</v>
      </c>
      <c r="M76" s="177"/>
      <c r="N76" s="177" t="s">
        <v>21</v>
      </c>
      <c r="O76"/>
      <c r="P76"/>
      <c r="Q76"/>
      <c r="R76"/>
    </row>
    <row r="77" spans="1:18" x14ac:dyDescent="0.45">
      <c r="A77" s="177" t="s">
        <v>607</v>
      </c>
      <c r="B77" s="177" t="s">
        <v>19</v>
      </c>
      <c r="C77" s="177" t="s">
        <v>1903</v>
      </c>
      <c r="D77" s="177" t="s">
        <v>608</v>
      </c>
      <c r="E77" s="177" t="s">
        <v>609</v>
      </c>
      <c r="F77" s="177" t="s">
        <v>21</v>
      </c>
      <c r="G77" s="177">
        <v>36814</v>
      </c>
      <c r="H77" s="177">
        <v>36814</v>
      </c>
      <c r="I77" s="180">
        <v>41915</v>
      </c>
      <c r="J77" s="177">
        <v>2014</v>
      </c>
      <c r="K77" s="177" t="s">
        <v>610</v>
      </c>
      <c r="L77" s="178" t="s">
        <v>30</v>
      </c>
      <c r="M77" s="177"/>
      <c r="N77" s="177" t="s">
        <v>21</v>
      </c>
      <c r="O77"/>
      <c r="P77"/>
      <c r="Q77"/>
      <c r="R77"/>
    </row>
    <row r="78" spans="1:18" x14ac:dyDescent="0.45">
      <c r="A78" s="177" t="s">
        <v>611</v>
      </c>
      <c r="B78" s="177" t="s">
        <v>19</v>
      </c>
      <c r="C78" s="177" t="s">
        <v>1903</v>
      </c>
      <c r="D78" s="177" t="s">
        <v>612</v>
      </c>
      <c r="E78" s="177"/>
      <c r="F78" s="177" t="s">
        <v>1912</v>
      </c>
      <c r="G78" s="177" t="s">
        <v>613</v>
      </c>
      <c r="H78" s="177" t="s">
        <v>614</v>
      </c>
      <c r="I78" s="177"/>
      <c r="J78" s="177"/>
      <c r="K78" s="177" t="s">
        <v>302</v>
      </c>
      <c r="L78" s="185" t="s">
        <v>280</v>
      </c>
      <c r="M78" s="177" t="s">
        <v>387</v>
      </c>
      <c r="N78" s="177" t="s">
        <v>290</v>
      </c>
      <c r="O78"/>
      <c r="P78"/>
      <c r="Q78"/>
      <c r="R78"/>
    </row>
    <row r="79" spans="1:18" x14ac:dyDescent="0.45">
      <c r="A79" s="177" t="s">
        <v>619</v>
      </c>
      <c r="B79" s="177" t="s">
        <v>19</v>
      </c>
      <c r="C79" s="177" t="s">
        <v>1903</v>
      </c>
      <c r="D79" s="177" t="s">
        <v>620</v>
      </c>
      <c r="E79" s="177"/>
      <c r="F79" s="177" t="s">
        <v>1912</v>
      </c>
      <c r="G79" s="177" t="s">
        <v>621</v>
      </c>
      <c r="H79" s="177" t="s">
        <v>622</v>
      </c>
      <c r="I79" s="177"/>
      <c r="J79" s="177"/>
      <c r="K79" s="177" t="s">
        <v>302</v>
      </c>
      <c r="L79" s="185" t="s">
        <v>280</v>
      </c>
      <c r="M79" s="177" t="s">
        <v>338</v>
      </c>
      <c r="N79" s="177" t="s">
        <v>290</v>
      </c>
      <c r="O79"/>
      <c r="P79"/>
      <c r="Q79"/>
      <c r="R79"/>
    </row>
    <row r="80" spans="1:18" x14ac:dyDescent="0.45">
      <c r="A80" s="177" t="s">
        <v>623</v>
      </c>
      <c r="B80" s="177" t="s">
        <v>19</v>
      </c>
      <c r="C80" s="177" t="s">
        <v>1903</v>
      </c>
      <c r="D80" s="177" t="s">
        <v>624</v>
      </c>
      <c r="E80" s="177"/>
      <c r="F80" s="177" t="s">
        <v>1912</v>
      </c>
      <c r="G80" s="177" t="s">
        <v>625</v>
      </c>
      <c r="H80" s="177" t="s">
        <v>626</v>
      </c>
      <c r="I80" s="177"/>
      <c r="J80" s="177"/>
      <c r="K80" s="177" t="s">
        <v>302</v>
      </c>
      <c r="L80" s="185" t="s">
        <v>280</v>
      </c>
      <c r="M80" s="177" t="s">
        <v>533</v>
      </c>
      <c r="N80" s="177" t="s">
        <v>290</v>
      </c>
      <c r="O80"/>
      <c r="P80"/>
      <c r="Q80"/>
      <c r="R80"/>
    </row>
    <row r="81" spans="1:18" x14ac:dyDescent="0.45">
      <c r="A81" s="177" t="s">
        <v>644</v>
      </c>
      <c r="B81" s="177" t="s">
        <v>19</v>
      </c>
      <c r="C81" s="177" t="s">
        <v>1903</v>
      </c>
      <c r="D81" s="177" t="s">
        <v>645</v>
      </c>
      <c r="E81" s="177"/>
      <c r="F81" s="177" t="s">
        <v>1912</v>
      </c>
      <c r="G81" s="177" t="s">
        <v>646</v>
      </c>
      <c r="H81" s="177" t="s">
        <v>647</v>
      </c>
      <c r="I81" s="177"/>
      <c r="J81" s="177"/>
      <c r="K81" s="177" t="s">
        <v>388</v>
      </c>
      <c r="L81" s="184" t="s">
        <v>61</v>
      </c>
      <c r="M81" s="177" t="s">
        <v>528</v>
      </c>
      <c r="N81" s="177" t="s">
        <v>290</v>
      </c>
      <c r="O81"/>
      <c r="P81"/>
      <c r="Q81"/>
      <c r="R81"/>
    </row>
    <row r="82" spans="1:18" x14ac:dyDescent="0.45">
      <c r="A82" s="177" t="s">
        <v>648</v>
      </c>
      <c r="B82" s="177" t="s">
        <v>19</v>
      </c>
      <c r="C82" s="177" t="s">
        <v>1903</v>
      </c>
      <c r="D82" s="177" t="s">
        <v>649</v>
      </c>
      <c r="E82" s="177" t="s">
        <v>650</v>
      </c>
      <c r="F82" s="177" t="s">
        <v>21</v>
      </c>
      <c r="G82" s="177">
        <v>38728</v>
      </c>
      <c r="H82" s="177">
        <v>38728</v>
      </c>
      <c r="I82" s="177" t="s">
        <v>199</v>
      </c>
      <c r="J82" s="177">
        <v>2015</v>
      </c>
      <c r="K82" s="177" t="s">
        <v>651</v>
      </c>
      <c r="L82" s="178" t="s">
        <v>30</v>
      </c>
      <c r="M82" s="177"/>
      <c r="N82" s="177" t="s">
        <v>21</v>
      </c>
      <c r="O82"/>
      <c r="P82"/>
      <c r="Q82"/>
      <c r="R82"/>
    </row>
    <row r="83" spans="1:18" x14ac:dyDescent="0.45">
      <c r="A83" s="177" t="s">
        <v>679</v>
      </c>
      <c r="B83" s="177" t="s">
        <v>19</v>
      </c>
      <c r="C83" s="177" t="s">
        <v>1903</v>
      </c>
      <c r="D83" s="177" t="s">
        <v>680</v>
      </c>
      <c r="E83" s="177"/>
      <c r="F83" s="177" t="s">
        <v>93</v>
      </c>
      <c r="G83" s="177" t="s">
        <v>681</v>
      </c>
      <c r="H83" s="177"/>
      <c r="I83" s="177"/>
      <c r="J83" s="177"/>
      <c r="K83" s="177" t="s">
        <v>596</v>
      </c>
      <c r="L83" s="186" t="s">
        <v>597</v>
      </c>
      <c r="M83" s="177" t="s">
        <v>397</v>
      </c>
      <c r="N83" s="177"/>
      <c r="O83"/>
      <c r="P83"/>
      <c r="Q83"/>
      <c r="R83"/>
    </row>
    <row r="84" spans="1:18" x14ac:dyDescent="0.45">
      <c r="A84" s="177" t="s">
        <v>702</v>
      </c>
      <c r="B84" s="177" t="s">
        <v>19</v>
      </c>
      <c r="C84" s="177" t="s">
        <v>1903</v>
      </c>
      <c r="D84" s="177" t="s">
        <v>703</v>
      </c>
      <c r="E84" s="177" t="s">
        <v>704</v>
      </c>
      <c r="F84" s="177" t="s">
        <v>21</v>
      </c>
      <c r="G84" s="177">
        <v>57562</v>
      </c>
      <c r="H84" s="177"/>
      <c r="I84" s="180">
        <v>44689</v>
      </c>
      <c r="J84" s="177">
        <v>2022</v>
      </c>
      <c r="K84" s="177"/>
      <c r="L84" s="181" t="s">
        <v>23</v>
      </c>
      <c r="M84" s="177"/>
      <c r="N84" s="177" t="s">
        <v>21</v>
      </c>
      <c r="O84"/>
      <c r="P84"/>
      <c r="Q84"/>
      <c r="R84"/>
    </row>
    <row r="85" spans="1:18" x14ac:dyDescent="0.45">
      <c r="A85" s="177" t="s">
        <v>751</v>
      </c>
      <c r="B85" s="177" t="s">
        <v>19</v>
      </c>
      <c r="C85" s="177" t="s">
        <v>1903</v>
      </c>
      <c r="D85" s="177" t="s">
        <v>752</v>
      </c>
      <c r="E85" s="177"/>
      <c r="F85" s="177" t="s">
        <v>93</v>
      </c>
      <c r="G85" s="177">
        <v>29547</v>
      </c>
      <c r="H85" s="177"/>
      <c r="I85" s="177"/>
      <c r="J85" s="177"/>
      <c r="K85" s="177"/>
      <c r="L85" s="181" t="s">
        <v>23</v>
      </c>
      <c r="M85" s="177" t="s">
        <v>94</v>
      </c>
      <c r="N85" s="177"/>
      <c r="O85"/>
      <c r="P85"/>
      <c r="Q85"/>
      <c r="R85"/>
    </row>
    <row r="86" spans="1:18" x14ac:dyDescent="0.45">
      <c r="A86" s="177" t="s">
        <v>810</v>
      </c>
      <c r="B86" s="177" t="s">
        <v>19</v>
      </c>
      <c r="C86" s="177" t="s">
        <v>1903</v>
      </c>
      <c r="D86" s="177" t="s">
        <v>811</v>
      </c>
      <c r="E86" s="177" t="s">
        <v>812</v>
      </c>
      <c r="F86" s="177" t="s">
        <v>21</v>
      </c>
      <c r="G86" s="177">
        <v>38952</v>
      </c>
      <c r="H86" s="177"/>
      <c r="I86" s="180">
        <v>42525</v>
      </c>
      <c r="J86" s="177">
        <v>2016</v>
      </c>
      <c r="K86" s="177"/>
      <c r="L86" s="181" t="s">
        <v>23</v>
      </c>
      <c r="M86" s="177"/>
      <c r="N86" s="177"/>
      <c r="O86"/>
      <c r="P86"/>
      <c r="Q86"/>
      <c r="R86"/>
    </row>
    <row r="87" spans="1:18" x14ac:dyDescent="0.45">
      <c r="A87" s="177" t="s">
        <v>816</v>
      </c>
      <c r="B87" s="177" t="s">
        <v>19</v>
      </c>
      <c r="C87" s="177" t="s">
        <v>1903</v>
      </c>
      <c r="D87" s="177" t="s">
        <v>817</v>
      </c>
      <c r="E87" s="177"/>
      <c r="F87" s="177" t="s">
        <v>1912</v>
      </c>
      <c r="G87" s="177" t="s">
        <v>818</v>
      </c>
      <c r="H87" s="177" t="s">
        <v>819</v>
      </c>
      <c r="I87" s="177"/>
      <c r="J87" s="177"/>
      <c r="K87" s="177" t="s">
        <v>388</v>
      </c>
      <c r="L87" s="184" t="s">
        <v>61</v>
      </c>
      <c r="M87" s="177" t="s">
        <v>320</v>
      </c>
      <c r="N87" s="177" t="s">
        <v>820</v>
      </c>
      <c r="O87"/>
      <c r="P87"/>
      <c r="Q87"/>
      <c r="R87"/>
    </row>
    <row r="88" spans="1:18" x14ac:dyDescent="0.45">
      <c r="A88" s="177" t="s">
        <v>827</v>
      </c>
      <c r="B88" s="177" t="s">
        <v>19</v>
      </c>
      <c r="C88" s="177" t="s">
        <v>1903</v>
      </c>
      <c r="D88" s="177" t="s">
        <v>828</v>
      </c>
      <c r="E88" s="177" t="s">
        <v>829</v>
      </c>
      <c r="F88" s="177" t="s">
        <v>21</v>
      </c>
      <c r="G88" s="177">
        <v>47008</v>
      </c>
      <c r="H88" s="177"/>
      <c r="I88" s="177" t="s">
        <v>830</v>
      </c>
      <c r="J88" s="177">
        <v>2019</v>
      </c>
      <c r="K88" s="177" t="s">
        <v>29</v>
      </c>
      <c r="L88" s="178" t="s">
        <v>30</v>
      </c>
      <c r="M88" s="177"/>
      <c r="N88" s="177" t="s">
        <v>21</v>
      </c>
      <c r="O88"/>
      <c r="P88"/>
      <c r="Q88"/>
      <c r="R88"/>
    </row>
    <row r="89" spans="1:18" x14ac:dyDescent="0.45">
      <c r="A89" s="183" t="s">
        <v>2295</v>
      </c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/>
      <c r="P89"/>
      <c r="Q89"/>
      <c r="R89"/>
    </row>
    <row r="90" spans="1:18" x14ac:dyDescent="0.45">
      <c r="A90" s="177" t="s">
        <v>274</v>
      </c>
      <c r="B90" s="177" t="s">
        <v>19</v>
      </c>
      <c r="C90" s="177" t="s">
        <v>1924</v>
      </c>
      <c r="D90" s="177" t="s">
        <v>275</v>
      </c>
      <c r="E90" s="177"/>
      <c r="F90" s="177" t="s">
        <v>1912</v>
      </c>
      <c r="G90" s="177" t="s">
        <v>277</v>
      </c>
      <c r="H90" s="177" t="s">
        <v>278</v>
      </c>
      <c r="I90" s="177"/>
      <c r="J90" s="177"/>
      <c r="K90" s="177" t="s">
        <v>279</v>
      </c>
      <c r="L90" s="185" t="s">
        <v>280</v>
      </c>
      <c r="M90" s="177" t="s">
        <v>281</v>
      </c>
      <c r="N90" s="177" t="s">
        <v>282</v>
      </c>
      <c r="O90"/>
      <c r="P90"/>
      <c r="Q90"/>
      <c r="R90"/>
    </row>
    <row r="91" spans="1:18" x14ac:dyDescent="0.45">
      <c r="A91" s="177" t="s">
        <v>284</v>
      </c>
      <c r="B91" s="177" t="s">
        <v>19</v>
      </c>
      <c r="C91" s="177" t="s">
        <v>1924</v>
      </c>
      <c r="D91" s="177" t="s">
        <v>285</v>
      </c>
      <c r="E91" s="177"/>
      <c r="F91" s="177" t="s">
        <v>1912</v>
      </c>
      <c r="G91" s="177" t="s">
        <v>286</v>
      </c>
      <c r="H91" s="177" t="s">
        <v>287</v>
      </c>
      <c r="I91" s="177"/>
      <c r="J91" s="177"/>
      <c r="K91" s="177" t="s">
        <v>288</v>
      </c>
      <c r="L91" s="185" t="s">
        <v>280</v>
      </c>
      <c r="M91" s="177" t="s">
        <v>289</v>
      </c>
      <c r="N91" s="177" t="s">
        <v>290</v>
      </c>
      <c r="O91"/>
      <c r="P91"/>
      <c r="Q91"/>
      <c r="R91"/>
    </row>
    <row r="92" spans="1:18" x14ac:dyDescent="0.45">
      <c r="A92" s="177" t="s">
        <v>292</v>
      </c>
      <c r="B92" s="177" t="s">
        <v>19</v>
      </c>
      <c r="C92" s="177" t="s">
        <v>1924</v>
      </c>
      <c r="D92" s="177" t="s">
        <v>293</v>
      </c>
      <c r="E92" s="177"/>
      <c r="F92" s="177" t="s">
        <v>1912</v>
      </c>
      <c r="G92" s="177" t="s">
        <v>294</v>
      </c>
      <c r="H92" s="177" t="s">
        <v>295</v>
      </c>
      <c r="I92" s="177"/>
      <c r="J92" s="177"/>
      <c r="K92" s="177" t="s">
        <v>296</v>
      </c>
      <c r="L92" s="185" t="s">
        <v>280</v>
      </c>
      <c r="M92" s="177" t="s">
        <v>297</v>
      </c>
      <c r="N92" s="177" t="s">
        <v>290</v>
      </c>
      <c r="O92"/>
      <c r="P92"/>
      <c r="Q92"/>
      <c r="R92"/>
    </row>
    <row r="93" spans="1:18" x14ac:dyDescent="0.45">
      <c r="A93" s="177" t="s">
        <v>448</v>
      </c>
      <c r="B93" s="177" t="s">
        <v>19</v>
      </c>
      <c r="C93" s="177" t="s">
        <v>1924</v>
      </c>
      <c r="D93" s="177" t="s">
        <v>449</v>
      </c>
      <c r="E93" s="177"/>
      <c r="F93" s="177" t="s">
        <v>1912</v>
      </c>
      <c r="G93" s="177" t="s">
        <v>450</v>
      </c>
      <c r="H93" s="177" t="s">
        <v>451</v>
      </c>
      <c r="I93" s="177"/>
      <c r="J93" s="177"/>
      <c r="K93" s="177" t="s">
        <v>302</v>
      </c>
      <c r="L93" s="185" t="s">
        <v>280</v>
      </c>
      <c r="M93" s="177" t="s">
        <v>307</v>
      </c>
      <c r="N93" s="177"/>
      <c r="O93"/>
      <c r="P93"/>
      <c r="Q93"/>
      <c r="R93"/>
    </row>
    <row r="94" spans="1:18" x14ac:dyDescent="0.45">
      <c r="A94" s="177" t="s">
        <v>298</v>
      </c>
      <c r="B94" s="177" t="s">
        <v>19</v>
      </c>
      <c r="C94" s="177" t="s">
        <v>1924</v>
      </c>
      <c r="D94" s="177" t="s">
        <v>299</v>
      </c>
      <c r="E94" s="177"/>
      <c r="F94" s="177" t="s">
        <v>1912</v>
      </c>
      <c r="G94" s="177" t="s">
        <v>300</v>
      </c>
      <c r="H94" s="177" t="s">
        <v>301</v>
      </c>
      <c r="I94" s="177"/>
      <c r="J94" s="177"/>
      <c r="K94" s="177" t="s">
        <v>302</v>
      </c>
      <c r="L94" s="185" t="s">
        <v>280</v>
      </c>
      <c r="M94" s="177" t="s">
        <v>303</v>
      </c>
      <c r="N94" s="177" t="s">
        <v>290</v>
      </c>
      <c r="O94"/>
      <c r="P94"/>
      <c r="Q94"/>
      <c r="R94"/>
    </row>
    <row r="95" spans="1:18" x14ac:dyDescent="0.45">
      <c r="A95" s="177" t="s">
        <v>304</v>
      </c>
      <c r="B95" s="177" t="s">
        <v>19</v>
      </c>
      <c r="C95" s="177" t="s">
        <v>1924</v>
      </c>
      <c r="D95" s="177" t="s">
        <v>305</v>
      </c>
      <c r="E95" s="177"/>
      <c r="F95" s="177" t="s">
        <v>1912</v>
      </c>
      <c r="G95" s="177" t="s">
        <v>283</v>
      </c>
      <c r="H95" s="177" t="s">
        <v>306</v>
      </c>
      <c r="I95" s="177"/>
      <c r="J95" s="177"/>
      <c r="K95" s="177" t="s">
        <v>302</v>
      </c>
      <c r="L95" s="185" t="s">
        <v>280</v>
      </c>
      <c r="M95" s="177" t="s">
        <v>307</v>
      </c>
      <c r="N95" s="177"/>
      <c r="O95"/>
      <c r="P95"/>
      <c r="Q95"/>
      <c r="R95"/>
    </row>
    <row r="96" spans="1:18" x14ac:dyDescent="0.45">
      <c r="A96" s="177" t="s">
        <v>487</v>
      </c>
      <c r="B96" s="177" t="s">
        <v>19</v>
      </c>
      <c r="C96" s="177" t="s">
        <v>1924</v>
      </c>
      <c r="D96" s="177" t="s">
        <v>488</v>
      </c>
      <c r="E96" s="177"/>
      <c r="F96" s="177" t="s">
        <v>1912</v>
      </c>
      <c r="G96" s="177" t="s">
        <v>489</v>
      </c>
      <c r="H96" s="177" t="s">
        <v>490</v>
      </c>
      <c r="I96" s="177"/>
      <c r="J96" s="177"/>
      <c r="K96" s="177" t="s">
        <v>302</v>
      </c>
      <c r="L96" s="185" t="s">
        <v>280</v>
      </c>
      <c r="M96" s="177" t="s">
        <v>307</v>
      </c>
      <c r="N96" s="177"/>
      <c r="O96"/>
      <c r="P96"/>
      <c r="Q96"/>
      <c r="R96"/>
    </row>
    <row r="97" spans="1:18" x14ac:dyDescent="0.45">
      <c r="A97" s="177" t="s">
        <v>492</v>
      </c>
      <c r="B97" s="177" t="s">
        <v>19</v>
      </c>
      <c r="C97" s="177" t="s">
        <v>1924</v>
      </c>
      <c r="D97" s="177" t="s">
        <v>493</v>
      </c>
      <c r="E97" s="177"/>
      <c r="F97" s="177" t="s">
        <v>1912</v>
      </c>
      <c r="G97" s="177" t="s">
        <v>321</v>
      </c>
      <c r="H97" s="177" t="s">
        <v>494</v>
      </c>
      <c r="I97" s="177"/>
      <c r="J97" s="177"/>
      <c r="K97" s="177" t="s">
        <v>302</v>
      </c>
      <c r="L97" s="185" t="s">
        <v>280</v>
      </c>
      <c r="M97" s="177" t="s">
        <v>307</v>
      </c>
      <c r="N97" s="177"/>
      <c r="O97"/>
      <c r="P97"/>
      <c r="Q97"/>
      <c r="R97"/>
    </row>
    <row r="98" spans="1:18" x14ac:dyDescent="0.45">
      <c r="A98" s="177" t="s">
        <v>495</v>
      </c>
      <c r="B98" s="177" t="s">
        <v>19</v>
      </c>
      <c r="C98" s="177" t="s">
        <v>1924</v>
      </c>
      <c r="D98" s="177" t="s">
        <v>496</v>
      </c>
      <c r="E98" s="177"/>
      <c r="F98" s="177" t="s">
        <v>1912</v>
      </c>
      <c r="G98" s="177" t="s">
        <v>497</v>
      </c>
      <c r="H98" s="177" t="s">
        <v>498</v>
      </c>
      <c r="I98" s="177"/>
      <c r="J98" s="177"/>
      <c r="K98" s="177" t="s">
        <v>499</v>
      </c>
      <c r="L98" s="185" t="s">
        <v>280</v>
      </c>
      <c r="M98" s="177" t="s">
        <v>500</v>
      </c>
      <c r="N98" s="177" t="s">
        <v>290</v>
      </c>
      <c r="O98"/>
      <c r="P98"/>
      <c r="Q98"/>
      <c r="R98"/>
    </row>
    <row r="99" spans="1:18" x14ac:dyDescent="0.45">
      <c r="A99" s="177" t="s">
        <v>501</v>
      </c>
      <c r="B99" s="177" t="s">
        <v>19</v>
      </c>
      <c r="C99" s="177" t="s">
        <v>1924</v>
      </c>
      <c r="D99" s="177" t="s">
        <v>502</v>
      </c>
      <c r="E99" s="177"/>
      <c r="F99" s="177" t="s">
        <v>1912</v>
      </c>
      <c r="G99" s="177" t="s">
        <v>503</v>
      </c>
      <c r="H99" s="177" t="s">
        <v>504</v>
      </c>
      <c r="I99" s="177"/>
      <c r="J99" s="177"/>
      <c r="K99" s="177" t="s">
        <v>326</v>
      </c>
      <c r="L99" s="185" t="s">
        <v>280</v>
      </c>
      <c r="M99" s="177" t="s">
        <v>327</v>
      </c>
      <c r="N99" s="177" t="s">
        <v>505</v>
      </c>
      <c r="O99"/>
      <c r="P99"/>
      <c r="Q99"/>
      <c r="R99"/>
    </row>
    <row r="100" spans="1:18" x14ac:dyDescent="0.45">
      <c r="A100" s="177" t="s">
        <v>308</v>
      </c>
      <c r="B100" s="177" t="s">
        <v>19</v>
      </c>
      <c r="C100" s="177" t="s">
        <v>1924</v>
      </c>
      <c r="D100" s="177" t="s">
        <v>309</v>
      </c>
      <c r="E100" s="177"/>
      <c r="F100" s="177" t="s">
        <v>1912</v>
      </c>
      <c r="G100" s="177" t="s">
        <v>310</v>
      </c>
      <c r="H100" s="177" t="s">
        <v>311</v>
      </c>
      <c r="I100" s="177"/>
      <c r="J100" s="177"/>
      <c r="K100" s="177" t="s">
        <v>302</v>
      </c>
      <c r="L100" s="185" t="s">
        <v>280</v>
      </c>
      <c r="M100" s="177" t="s">
        <v>307</v>
      </c>
      <c r="N100" s="177"/>
      <c r="O100"/>
      <c r="P100"/>
      <c r="Q100"/>
      <c r="R100"/>
    </row>
    <row r="101" spans="1:18" x14ac:dyDescent="0.45">
      <c r="A101" s="177" t="s">
        <v>539</v>
      </c>
      <c r="B101" s="177" t="s">
        <v>19</v>
      </c>
      <c r="C101" s="177" t="s">
        <v>1924</v>
      </c>
      <c r="D101" s="177" t="s">
        <v>540</v>
      </c>
      <c r="E101" s="177"/>
      <c r="F101" s="177" t="s">
        <v>1912</v>
      </c>
      <c r="G101" s="177" t="s">
        <v>541</v>
      </c>
      <c r="H101" s="177" t="s">
        <v>542</v>
      </c>
      <c r="I101" s="177"/>
      <c r="J101" s="177"/>
      <c r="K101" s="177" t="s">
        <v>385</v>
      </c>
      <c r="L101" s="179" t="s">
        <v>386</v>
      </c>
      <c r="M101" s="177" t="s">
        <v>528</v>
      </c>
      <c r="N101" s="177" t="s">
        <v>290</v>
      </c>
      <c r="O101"/>
      <c r="P101"/>
      <c r="Q101"/>
      <c r="R101"/>
    </row>
    <row r="102" spans="1:18" x14ac:dyDescent="0.45">
      <c r="A102" s="177" t="s">
        <v>559</v>
      </c>
      <c r="B102" s="177" t="s">
        <v>19</v>
      </c>
      <c r="C102" s="177" t="s">
        <v>1924</v>
      </c>
      <c r="D102" s="177" t="s">
        <v>560</v>
      </c>
      <c r="E102" s="177"/>
      <c r="F102" s="177" t="s">
        <v>1912</v>
      </c>
      <c r="G102" s="177" t="s">
        <v>561</v>
      </c>
      <c r="H102" s="177" t="s">
        <v>562</v>
      </c>
      <c r="I102" s="177"/>
      <c r="J102" s="177"/>
      <c r="K102" s="177" t="s">
        <v>563</v>
      </c>
      <c r="L102" s="185" t="s">
        <v>280</v>
      </c>
      <c r="M102" s="177" t="s">
        <v>564</v>
      </c>
      <c r="N102" s="177" t="s">
        <v>282</v>
      </c>
      <c r="O102"/>
      <c r="P102"/>
      <c r="Q102"/>
      <c r="R102"/>
    </row>
    <row r="103" spans="1:18" x14ac:dyDescent="0.45">
      <c r="A103" s="177" t="s">
        <v>316</v>
      </c>
      <c r="B103" s="177" t="s">
        <v>19</v>
      </c>
      <c r="C103" s="177" t="s">
        <v>1924</v>
      </c>
      <c r="D103" s="177" t="s">
        <v>317</v>
      </c>
      <c r="E103" s="177"/>
      <c r="F103" s="177" t="s">
        <v>1912</v>
      </c>
      <c r="G103" s="177" t="s">
        <v>318</v>
      </c>
      <c r="H103" s="177" t="s">
        <v>319</v>
      </c>
      <c r="I103" s="177"/>
      <c r="J103" s="177"/>
      <c r="K103" s="177" t="s">
        <v>302</v>
      </c>
      <c r="L103" s="185" t="s">
        <v>280</v>
      </c>
      <c r="M103" s="177" t="s">
        <v>320</v>
      </c>
      <c r="N103" s="177" t="s">
        <v>290</v>
      </c>
      <c r="O103"/>
      <c r="P103"/>
      <c r="Q103"/>
      <c r="R103"/>
    </row>
    <row r="104" spans="1:18" x14ac:dyDescent="0.45">
      <c r="A104" s="177" t="s">
        <v>322</v>
      </c>
      <c r="B104" s="177" t="s">
        <v>19</v>
      </c>
      <c r="C104" s="177" t="s">
        <v>1924</v>
      </c>
      <c r="D104" s="177" t="s">
        <v>323</v>
      </c>
      <c r="E104" s="177"/>
      <c r="F104" s="177" t="s">
        <v>1912</v>
      </c>
      <c r="G104" s="177" t="s">
        <v>324</v>
      </c>
      <c r="H104" s="177" t="s">
        <v>325</v>
      </c>
      <c r="I104" s="177"/>
      <c r="J104" s="177"/>
      <c r="K104" s="177" t="s">
        <v>326</v>
      </c>
      <c r="L104" s="185" t="s">
        <v>280</v>
      </c>
      <c r="M104" s="177" t="s">
        <v>327</v>
      </c>
      <c r="N104" s="177" t="s">
        <v>328</v>
      </c>
      <c r="O104"/>
      <c r="P104"/>
      <c r="Q104"/>
      <c r="R104"/>
    </row>
    <row r="105" spans="1:18" x14ac:dyDescent="0.45">
      <c r="A105" s="177" t="s">
        <v>330</v>
      </c>
      <c r="B105" s="177" t="s">
        <v>19</v>
      </c>
      <c r="C105" s="177" t="s">
        <v>1924</v>
      </c>
      <c r="D105" s="177" t="s">
        <v>331</v>
      </c>
      <c r="E105" s="177"/>
      <c r="F105" s="177" t="s">
        <v>1912</v>
      </c>
      <c r="G105" s="177" t="s">
        <v>332</v>
      </c>
      <c r="H105" s="177" t="s">
        <v>333</v>
      </c>
      <c r="I105" s="177"/>
      <c r="J105" s="177"/>
      <c r="K105" s="177" t="s">
        <v>302</v>
      </c>
      <c r="L105" s="185" t="s">
        <v>280</v>
      </c>
      <c r="M105" s="177" t="s">
        <v>307</v>
      </c>
      <c r="N105" s="177"/>
      <c r="O105"/>
      <c r="P105"/>
      <c r="Q105"/>
      <c r="R105"/>
    </row>
    <row r="106" spans="1:18" x14ac:dyDescent="0.45">
      <c r="A106" s="177" t="s">
        <v>574</v>
      </c>
      <c r="B106" s="177" t="s">
        <v>19</v>
      </c>
      <c r="C106" s="177" t="s">
        <v>1924</v>
      </c>
      <c r="D106" s="177" t="s">
        <v>575</v>
      </c>
      <c r="E106" s="177"/>
      <c r="F106" s="177" t="s">
        <v>1912</v>
      </c>
      <c r="G106" s="177" t="s">
        <v>576</v>
      </c>
      <c r="H106" s="177" t="s">
        <v>577</v>
      </c>
      <c r="I106" s="177"/>
      <c r="J106" s="177"/>
      <c r="K106" s="177" t="s">
        <v>578</v>
      </c>
      <c r="L106" s="185" t="s">
        <v>280</v>
      </c>
      <c r="M106" s="177" t="s">
        <v>579</v>
      </c>
      <c r="N106" s="177" t="s">
        <v>580</v>
      </c>
      <c r="O106"/>
      <c r="P106"/>
      <c r="Q106"/>
      <c r="R106"/>
    </row>
    <row r="107" spans="1:18" x14ac:dyDescent="0.45">
      <c r="A107" s="177" t="s">
        <v>594</v>
      </c>
      <c r="B107" s="177" t="s">
        <v>19</v>
      </c>
      <c r="C107" s="177" t="s">
        <v>1924</v>
      </c>
      <c r="D107" s="177" t="s">
        <v>595</v>
      </c>
      <c r="E107" s="177"/>
      <c r="F107" s="177" t="s">
        <v>93</v>
      </c>
      <c r="G107" s="177">
        <v>25964</v>
      </c>
      <c r="H107" s="177"/>
      <c r="I107" s="177"/>
      <c r="J107" s="177"/>
      <c r="K107" s="177" t="s">
        <v>596</v>
      </c>
      <c r="L107" s="186" t="s">
        <v>597</v>
      </c>
      <c r="M107" s="177" t="s">
        <v>94</v>
      </c>
      <c r="N107" s="177"/>
      <c r="O107"/>
      <c r="P107"/>
      <c r="Q107"/>
      <c r="R107"/>
    </row>
    <row r="108" spans="1:18" x14ac:dyDescent="0.45">
      <c r="A108" s="177" t="s">
        <v>615</v>
      </c>
      <c r="B108" s="177" t="s">
        <v>19</v>
      </c>
      <c r="C108" s="177" t="s">
        <v>1924</v>
      </c>
      <c r="D108" s="177" t="s">
        <v>616</v>
      </c>
      <c r="E108" s="177"/>
      <c r="F108" s="177" t="s">
        <v>1912</v>
      </c>
      <c r="G108" s="177" t="s">
        <v>617</v>
      </c>
      <c r="H108" s="177" t="s">
        <v>618</v>
      </c>
      <c r="I108" s="177"/>
      <c r="J108" s="177"/>
      <c r="K108" s="177" t="s">
        <v>302</v>
      </c>
      <c r="L108" s="185" t="s">
        <v>280</v>
      </c>
      <c r="M108" s="177" t="s">
        <v>387</v>
      </c>
      <c r="N108" s="177" t="s">
        <v>290</v>
      </c>
      <c r="O108"/>
      <c r="P108"/>
      <c r="Q108"/>
      <c r="R108"/>
    </row>
    <row r="109" spans="1:18" x14ac:dyDescent="0.45">
      <c r="A109" s="177" t="s">
        <v>334</v>
      </c>
      <c r="B109" s="177" t="s">
        <v>19</v>
      </c>
      <c r="C109" s="177" t="s">
        <v>1924</v>
      </c>
      <c r="D109" s="177" t="s">
        <v>335</v>
      </c>
      <c r="E109" s="177"/>
      <c r="F109" s="177" t="s">
        <v>1912</v>
      </c>
      <c r="G109" s="177" t="s">
        <v>336</v>
      </c>
      <c r="H109" s="177" t="s">
        <v>337</v>
      </c>
      <c r="I109" s="177"/>
      <c r="J109" s="177"/>
      <c r="K109" s="177" t="s">
        <v>302</v>
      </c>
      <c r="L109" s="185" t="s">
        <v>280</v>
      </c>
      <c r="M109" s="177" t="s">
        <v>338</v>
      </c>
      <c r="N109" s="177" t="s">
        <v>290</v>
      </c>
      <c r="O109"/>
      <c r="P109"/>
      <c r="Q109"/>
      <c r="R109"/>
    </row>
    <row r="110" spans="1:18" x14ac:dyDescent="0.45">
      <c r="A110" s="177" t="s">
        <v>340</v>
      </c>
      <c r="B110" s="177" t="s">
        <v>19</v>
      </c>
      <c r="C110" s="177" t="s">
        <v>1924</v>
      </c>
      <c r="D110" s="177" t="s">
        <v>341</v>
      </c>
      <c r="E110" s="177"/>
      <c r="F110" s="177" t="s">
        <v>1912</v>
      </c>
      <c r="G110" s="177" t="s">
        <v>342</v>
      </c>
      <c r="H110" s="177" t="s">
        <v>343</v>
      </c>
      <c r="I110" s="177"/>
      <c r="J110" s="177"/>
      <c r="K110" s="177" t="s">
        <v>344</v>
      </c>
      <c r="L110" s="185" t="s">
        <v>280</v>
      </c>
      <c r="M110" s="177" t="s">
        <v>345</v>
      </c>
      <c r="N110" s="177" t="s">
        <v>346</v>
      </c>
      <c r="O110"/>
      <c r="P110"/>
      <c r="Q110"/>
      <c r="R110"/>
    </row>
    <row r="111" spans="1:18" x14ac:dyDescent="0.45">
      <c r="A111" s="177" t="s">
        <v>627</v>
      </c>
      <c r="B111" s="177" t="s">
        <v>19</v>
      </c>
      <c r="C111" s="177" t="s">
        <v>1924</v>
      </c>
      <c r="D111" s="177" t="s">
        <v>628</v>
      </c>
      <c r="E111" s="177"/>
      <c r="F111" s="177" t="s">
        <v>1912</v>
      </c>
      <c r="G111" s="177" t="s">
        <v>629</v>
      </c>
      <c r="H111" s="177" t="s">
        <v>630</v>
      </c>
      <c r="I111" s="177"/>
      <c r="J111" s="177"/>
      <c r="K111" s="177" t="s">
        <v>631</v>
      </c>
      <c r="L111" s="185" t="s">
        <v>280</v>
      </c>
      <c r="M111" s="177" t="s">
        <v>632</v>
      </c>
      <c r="N111" s="177" t="s">
        <v>290</v>
      </c>
      <c r="O111"/>
      <c r="P111"/>
      <c r="Q111"/>
      <c r="R111"/>
    </row>
    <row r="112" spans="1:18" x14ac:dyDescent="0.45">
      <c r="A112" s="177" t="s">
        <v>633</v>
      </c>
      <c r="B112" s="177" t="s">
        <v>19</v>
      </c>
      <c r="C112" s="177" t="s">
        <v>1924</v>
      </c>
      <c r="D112" s="177" t="s">
        <v>634</v>
      </c>
      <c r="E112" s="177"/>
      <c r="F112" s="177" t="s">
        <v>1912</v>
      </c>
      <c r="G112" s="177" t="s">
        <v>635</v>
      </c>
      <c r="H112" s="177" t="s">
        <v>636</v>
      </c>
      <c r="I112" s="177"/>
      <c r="J112" s="177"/>
      <c r="K112" s="177" t="s">
        <v>637</v>
      </c>
      <c r="L112" s="179" t="s">
        <v>386</v>
      </c>
      <c r="M112" s="177" t="s">
        <v>638</v>
      </c>
      <c r="N112" s="177" t="s">
        <v>290</v>
      </c>
      <c r="O112"/>
      <c r="P112"/>
      <c r="Q112"/>
      <c r="R112"/>
    </row>
    <row r="113" spans="1:18" x14ac:dyDescent="0.45">
      <c r="A113" s="177" t="s">
        <v>347</v>
      </c>
      <c r="B113" s="177" t="s">
        <v>19</v>
      </c>
      <c r="C113" s="177" t="s">
        <v>1924</v>
      </c>
      <c r="D113" s="177" t="s">
        <v>348</v>
      </c>
      <c r="E113" s="177"/>
      <c r="F113" s="177" t="s">
        <v>1912</v>
      </c>
      <c r="G113" s="177" t="s">
        <v>349</v>
      </c>
      <c r="H113" s="177" t="s">
        <v>350</v>
      </c>
      <c r="I113" s="177"/>
      <c r="J113" s="177"/>
      <c r="K113" s="177" t="s">
        <v>302</v>
      </c>
      <c r="L113" s="185" t="s">
        <v>280</v>
      </c>
      <c r="M113" s="177" t="s">
        <v>351</v>
      </c>
      <c r="N113" s="177" t="s">
        <v>290</v>
      </c>
      <c r="O113"/>
      <c r="P113"/>
      <c r="Q113"/>
      <c r="R113"/>
    </row>
    <row r="114" spans="1:18" x14ac:dyDescent="0.45">
      <c r="A114" s="177" t="s">
        <v>352</v>
      </c>
      <c r="B114" s="177" t="s">
        <v>19</v>
      </c>
      <c r="C114" s="177" t="s">
        <v>1924</v>
      </c>
      <c r="D114" s="177" t="s">
        <v>353</v>
      </c>
      <c r="E114" s="177"/>
      <c r="F114" s="177" t="s">
        <v>1912</v>
      </c>
      <c r="G114" s="177" t="s">
        <v>354</v>
      </c>
      <c r="H114" s="177" t="s">
        <v>355</v>
      </c>
      <c r="I114" s="177"/>
      <c r="J114" s="177"/>
      <c r="K114" s="177" t="s">
        <v>302</v>
      </c>
      <c r="L114" s="185" t="s">
        <v>280</v>
      </c>
      <c r="M114" s="177" t="s">
        <v>356</v>
      </c>
      <c r="N114" s="177" t="s">
        <v>290</v>
      </c>
      <c r="O114"/>
      <c r="P114"/>
      <c r="Q114"/>
      <c r="R114"/>
    </row>
    <row r="115" spans="1:18" x14ac:dyDescent="0.45">
      <c r="A115" s="177" t="s">
        <v>652</v>
      </c>
      <c r="B115" s="177" t="s">
        <v>19</v>
      </c>
      <c r="C115" s="177" t="s">
        <v>1924</v>
      </c>
      <c r="D115" s="177" t="s">
        <v>653</v>
      </c>
      <c r="E115" s="177"/>
      <c r="F115" s="177" t="s">
        <v>1912</v>
      </c>
      <c r="G115" s="177" t="s">
        <v>654</v>
      </c>
      <c r="H115" s="177" t="s">
        <v>655</v>
      </c>
      <c r="I115" s="177"/>
      <c r="J115" s="177"/>
      <c r="K115" s="177" t="s">
        <v>388</v>
      </c>
      <c r="L115" s="184" t="s">
        <v>61</v>
      </c>
      <c r="M115" s="177" t="s">
        <v>656</v>
      </c>
      <c r="N115" s="177" t="s">
        <v>657</v>
      </c>
      <c r="O115"/>
      <c r="P115"/>
      <c r="Q115"/>
      <c r="R115"/>
    </row>
    <row r="116" spans="1:18" x14ac:dyDescent="0.45">
      <c r="A116" s="177" t="s">
        <v>754</v>
      </c>
      <c r="B116" s="177" t="s">
        <v>19</v>
      </c>
      <c r="C116" s="177" t="s">
        <v>1924</v>
      </c>
      <c r="D116" s="177" t="s">
        <v>755</v>
      </c>
      <c r="E116" s="177"/>
      <c r="F116" s="177" t="s">
        <v>1912</v>
      </c>
      <c r="G116" s="177" t="s">
        <v>756</v>
      </c>
      <c r="H116" s="177" t="s">
        <v>757</v>
      </c>
      <c r="I116" s="177"/>
      <c r="J116" s="177"/>
      <c r="K116" s="177" t="s">
        <v>388</v>
      </c>
      <c r="L116" s="184" t="s">
        <v>61</v>
      </c>
      <c r="M116" s="177" t="s">
        <v>758</v>
      </c>
      <c r="N116" s="177" t="s">
        <v>759</v>
      </c>
      <c r="O116"/>
      <c r="P116"/>
      <c r="Q116"/>
      <c r="R116"/>
    </row>
    <row r="117" spans="1:18" x14ac:dyDescent="0.45">
      <c r="A117" s="177" t="s">
        <v>822</v>
      </c>
      <c r="B117" s="177" t="s">
        <v>19</v>
      </c>
      <c r="C117" s="177" t="s">
        <v>1924</v>
      </c>
      <c r="D117" s="177" t="s">
        <v>823</v>
      </c>
      <c r="E117" s="177"/>
      <c r="F117" s="177" t="s">
        <v>1912</v>
      </c>
      <c r="G117" s="177" t="s">
        <v>824</v>
      </c>
      <c r="H117" s="177" t="s">
        <v>825</v>
      </c>
      <c r="I117" s="177"/>
      <c r="J117" s="177"/>
      <c r="K117" s="177" t="s">
        <v>826</v>
      </c>
      <c r="L117" s="185" t="s">
        <v>280</v>
      </c>
      <c r="M117" s="177" t="s">
        <v>303</v>
      </c>
      <c r="N117" s="177" t="s">
        <v>290</v>
      </c>
      <c r="O117"/>
      <c r="P117"/>
      <c r="Q117"/>
      <c r="R117"/>
    </row>
    <row r="118" spans="1:18" x14ac:dyDescent="0.45">
      <c r="A118" s="183" t="s">
        <v>2296</v>
      </c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/>
      <c r="P118"/>
      <c r="Q118"/>
      <c r="R118"/>
    </row>
    <row r="119" spans="1:18" x14ac:dyDescent="0.45">
      <c r="A119" s="177" t="s">
        <v>441</v>
      </c>
      <c r="B119" s="177" t="s">
        <v>19</v>
      </c>
      <c r="C119" s="177" t="s">
        <v>1926</v>
      </c>
      <c r="D119" s="177" t="s">
        <v>442</v>
      </c>
      <c r="E119" s="177" t="s">
        <v>443</v>
      </c>
      <c r="F119" s="177" t="s">
        <v>21</v>
      </c>
      <c r="G119" s="177">
        <v>35509</v>
      </c>
      <c r="H119" s="177">
        <v>35228</v>
      </c>
      <c r="I119" s="177" t="s">
        <v>444</v>
      </c>
      <c r="J119" s="177">
        <v>2012</v>
      </c>
      <c r="K119" s="177" t="s">
        <v>445</v>
      </c>
      <c r="L119" s="178" t="s">
        <v>30</v>
      </c>
      <c r="M119" s="177"/>
      <c r="N119" s="177" t="s">
        <v>21</v>
      </c>
      <c r="O119"/>
      <c r="P119"/>
      <c r="Q119"/>
      <c r="R119"/>
    </row>
    <row r="120" spans="1:18" x14ac:dyDescent="0.45">
      <c r="A120" s="177" t="s">
        <v>389</v>
      </c>
      <c r="B120" s="177" t="s">
        <v>19</v>
      </c>
      <c r="C120" s="177" t="s">
        <v>1926</v>
      </c>
      <c r="D120" s="177" t="s">
        <v>390</v>
      </c>
      <c r="E120" s="177" t="s">
        <v>391</v>
      </c>
      <c r="F120" s="177" t="s">
        <v>21</v>
      </c>
      <c r="G120" s="177">
        <v>37537</v>
      </c>
      <c r="H120" s="177"/>
      <c r="I120" s="177" t="s">
        <v>392</v>
      </c>
      <c r="J120" s="177">
        <v>2014</v>
      </c>
      <c r="K120" s="177"/>
      <c r="L120" s="181" t="s">
        <v>23</v>
      </c>
      <c r="M120" s="177"/>
      <c r="N120" s="177" t="s">
        <v>21</v>
      </c>
      <c r="O120"/>
      <c r="P120"/>
      <c r="Q120"/>
      <c r="R120"/>
    </row>
    <row r="121" spans="1:18" x14ac:dyDescent="0.45">
      <c r="A121" s="177" t="s">
        <v>393</v>
      </c>
      <c r="B121" s="177" t="s">
        <v>19</v>
      </c>
      <c r="C121" s="177" t="s">
        <v>1926</v>
      </c>
      <c r="D121" s="177" t="s">
        <v>394</v>
      </c>
      <c r="E121" s="177"/>
      <c r="F121" s="177" t="s">
        <v>93</v>
      </c>
      <c r="G121" s="177" t="s">
        <v>395</v>
      </c>
      <c r="H121" s="177"/>
      <c r="I121" s="177"/>
      <c r="J121" s="177"/>
      <c r="K121" s="177" t="s">
        <v>396</v>
      </c>
      <c r="L121" s="184" t="s">
        <v>61</v>
      </c>
      <c r="M121" s="177" t="s">
        <v>397</v>
      </c>
      <c r="N121" s="177"/>
      <c r="O121"/>
      <c r="P121"/>
      <c r="Q121"/>
      <c r="R121"/>
    </row>
    <row r="122" spans="1:18" x14ac:dyDescent="0.45">
      <c r="A122" s="177" t="s">
        <v>67</v>
      </c>
      <c r="B122" s="177" t="s">
        <v>19</v>
      </c>
      <c r="C122" s="177" t="s">
        <v>1926</v>
      </c>
      <c r="D122" s="177" t="s">
        <v>68</v>
      </c>
      <c r="E122" s="177" t="s">
        <v>69</v>
      </c>
      <c r="F122" s="177" t="s">
        <v>21</v>
      </c>
      <c r="G122" s="177">
        <v>36129</v>
      </c>
      <c r="H122" s="177"/>
      <c r="I122" s="177" t="s">
        <v>70</v>
      </c>
      <c r="J122" s="177">
        <v>2013</v>
      </c>
      <c r="K122" s="177"/>
      <c r="L122" s="181" t="s">
        <v>23</v>
      </c>
      <c r="M122" s="177"/>
      <c r="N122" s="177" t="s">
        <v>21</v>
      </c>
      <c r="O122"/>
      <c r="P122"/>
      <c r="Q122"/>
      <c r="R122"/>
    </row>
    <row r="123" spans="1:18" x14ac:dyDescent="0.45">
      <c r="A123" s="177" t="s">
        <v>399</v>
      </c>
      <c r="B123" s="177" t="s">
        <v>19</v>
      </c>
      <c r="C123" s="177" t="s">
        <v>1926</v>
      </c>
      <c r="D123" s="177" t="s">
        <v>400</v>
      </c>
      <c r="E123" s="177" t="s">
        <v>401</v>
      </c>
      <c r="F123" s="177" t="s">
        <v>21</v>
      </c>
      <c r="G123" s="177">
        <v>47835</v>
      </c>
      <c r="H123" s="177"/>
      <c r="I123" s="177" t="s">
        <v>402</v>
      </c>
      <c r="J123" s="177">
        <v>2019</v>
      </c>
      <c r="K123" s="177" t="s">
        <v>403</v>
      </c>
      <c r="L123" s="178" t="s">
        <v>30</v>
      </c>
      <c r="M123" s="177"/>
      <c r="N123" s="177" t="s">
        <v>21</v>
      </c>
      <c r="O123"/>
      <c r="P123"/>
      <c r="Q123"/>
      <c r="R123"/>
    </row>
    <row r="124" spans="1:18" x14ac:dyDescent="0.45">
      <c r="A124" s="177" t="s">
        <v>404</v>
      </c>
      <c r="B124" s="177" t="s">
        <v>19</v>
      </c>
      <c r="C124" s="177" t="s">
        <v>1926</v>
      </c>
      <c r="D124" s="177" t="s">
        <v>405</v>
      </c>
      <c r="E124" s="177" t="s">
        <v>406</v>
      </c>
      <c r="F124" s="177" t="s">
        <v>21</v>
      </c>
      <c r="G124" s="177">
        <v>55255</v>
      </c>
      <c r="H124" s="177"/>
      <c r="I124" s="177" t="s">
        <v>84</v>
      </c>
      <c r="J124" s="177">
        <v>2021</v>
      </c>
      <c r="K124" s="177" t="s">
        <v>85</v>
      </c>
      <c r="L124" s="178" t="s">
        <v>30</v>
      </c>
      <c r="M124" s="177"/>
      <c r="N124" s="177" t="s">
        <v>21</v>
      </c>
      <c r="O124"/>
      <c r="P124"/>
      <c r="Q124"/>
      <c r="R124"/>
    </row>
    <row r="125" spans="1:18" x14ac:dyDescent="0.45">
      <c r="A125" s="177" t="s">
        <v>507</v>
      </c>
      <c r="B125" s="177" t="s">
        <v>19</v>
      </c>
      <c r="C125" s="177" t="s">
        <v>1926</v>
      </c>
      <c r="D125" s="177" t="s">
        <v>508</v>
      </c>
      <c r="E125" s="177"/>
      <c r="F125" s="177" t="s">
        <v>1912</v>
      </c>
      <c r="G125" s="177" t="s">
        <v>509</v>
      </c>
      <c r="H125" s="177" t="s">
        <v>510</v>
      </c>
      <c r="I125" s="177"/>
      <c r="J125" s="177"/>
      <c r="K125" s="177" t="s">
        <v>302</v>
      </c>
      <c r="L125" s="185" t="s">
        <v>280</v>
      </c>
      <c r="M125" s="177" t="s">
        <v>307</v>
      </c>
      <c r="N125" s="177" t="s">
        <v>511</v>
      </c>
      <c r="O125"/>
      <c r="P125"/>
      <c r="Q125"/>
      <c r="R125"/>
    </row>
    <row r="126" spans="1:18" x14ac:dyDescent="0.45">
      <c r="A126" s="177" t="s">
        <v>553</v>
      </c>
      <c r="B126" s="177" t="s">
        <v>19</v>
      </c>
      <c r="C126" s="177" t="s">
        <v>1926</v>
      </c>
      <c r="D126" s="177" t="s">
        <v>554</v>
      </c>
      <c r="E126" s="177"/>
      <c r="F126" s="177" t="s">
        <v>93</v>
      </c>
      <c r="G126" s="177">
        <v>27773</v>
      </c>
      <c r="H126" s="177"/>
      <c r="I126" s="177"/>
      <c r="J126" s="177"/>
      <c r="K126" s="177" t="s">
        <v>396</v>
      </c>
      <c r="L126" s="184" t="s">
        <v>61</v>
      </c>
      <c r="M126" s="177" t="s">
        <v>94</v>
      </c>
      <c r="N126" s="177"/>
      <c r="O126"/>
      <c r="P126"/>
      <c r="Q126"/>
      <c r="R126"/>
    </row>
    <row r="127" spans="1:18" x14ac:dyDescent="0.45">
      <c r="A127" s="177" t="s">
        <v>407</v>
      </c>
      <c r="B127" s="177" t="s">
        <v>19</v>
      </c>
      <c r="C127" s="177" t="s">
        <v>1926</v>
      </c>
      <c r="D127" s="177" t="s">
        <v>408</v>
      </c>
      <c r="E127" s="177" t="s">
        <v>409</v>
      </c>
      <c r="F127" s="177" t="s">
        <v>21</v>
      </c>
      <c r="G127" s="177">
        <v>40802</v>
      </c>
      <c r="H127" s="177">
        <v>40802</v>
      </c>
      <c r="I127" s="177" t="s">
        <v>410</v>
      </c>
      <c r="J127" s="177">
        <v>2017</v>
      </c>
      <c r="K127" s="177" t="s">
        <v>220</v>
      </c>
      <c r="L127" s="178" t="s">
        <v>30</v>
      </c>
      <c r="M127" s="177"/>
      <c r="N127" s="177" t="s">
        <v>21</v>
      </c>
      <c r="O127"/>
      <c r="P127"/>
      <c r="Q127"/>
      <c r="R127"/>
    </row>
    <row r="128" spans="1:18" x14ac:dyDescent="0.45">
      <c r="A128" s="177" t="s">
        <v>240</v>
      </c>
      <c r="B128" s="177" t="s">
        <v>19</v>
      </c>
      <c r="C128" s="177" t="s">
        <v>1926</v>
      </c>
      <c r="D128" s="177" t="s">
        <v>241</v>
      </c>
      <c r="E128" s="177" t="s">
        <v>242</v>
      </c>
      <c r="F128" s="177" t="s">
        <v>21</v>
      </c>
      <c r="G128" s="177">
        <v>35149</v>
      </c>
      <c r="H128" s="177">
        <v>34933</v>
      </c>
      <c r="I128" s="177" t="s">
        <v>243</v>
      </c>
      <c r="J128" s="177">
        <v>2012</v>
      </c>
      <c r="K128" s="177" t="s">
        <v>66</v>
      </c>
      <c r="L128" s="178" t="s">
        <v>30</v>
      </c>
      <c r="M128" s="177"/>
      <c r="N128" s="177" t="s">
        <v>21</v>
      </c>
      <c r="O128"/>
      <c r="P128"/>
      <c r="Q128"/>
      <c r="R128"/>
    </row>
    <row r="129" spans="1:18" x14ac:dyDescent="0.45">
      <c r="A129" s="177" t="s">
        <v>262</v>
      </c>
      <c r="B129" s="177" t="s">
        <v>19</v>
      </c>
      <c r="C129" s="177" t="s">
        <v>1926</v>
      </c>
      <c r="D129" s="177" t="s">
        <v>263</v>
      </c>
      <c r="E129" s="177" t="s">
        <v>264</v>
      </c>
      <c r="F129" s="177" t="s">
        <v>21</v>
      </c>
      <c r="G129" s="177">
        <v>35011</v>
      </c>
      <c r="H129" s="177">
        <v>34790</v>
      </c>
      <c r="I129" s="177" t="s">
        <v>65</v>
      </c>
      <c r="J129" s="177">
        <v>2012</v>
      </c>
      <c r="K129" s="177" t="s">
        <v>60</v>
      </c>
      <c r="L129" s="184" t="s">
        <v>61</v>
      </c>
      <c r="M129" s="177"/>
      <c r="N129" s="177" t="s">
        <v>21</v>
      </c>
      <c r="O129"/>
      <c r="P129"/>
      <c r="Q129"/>
      <c r="R129"/>
    </row>
    <row r="130" spans="1:18" x14ac:dyDescent="0.45">
      <c r="A130" s="177" t="s">
        <v>599</v>
      </c>
      <c r="B130" s="177" t="s">
        <v>19</v>
      </c>
      <c r="C130" s="177" t="s">
        <v>1926</v>
      </c>
      <c r="D130" s="177" t="s">
        <v>600</v>
      </c>
      <c r="E130" s="177"/>
      <c r="F130" s="177" t="s">
        <v>93</v>
      </c>
      <c r="G130" s="177">
        <v>23694</v>
      </c>
      <c r="H130" s="177"/>
      <c r="I130" s="177"/>
      <c r="J130" s="177"/>
      <c r="K130" s="177" t="s">
        <v>596</v>
      </c>
      <c r="L130" s="186" t="s">
        <v>597</v>
      </c>
      <c r="M130" s="177" t="s">
        <v>94</v>
      </c>
      <c r="N130" s="177"/>
      <c r="O130"/>
      <c r="P130"/>
      <c r="Q130"/>
      <c r="R130"/>
    </row>
    <row r="131" spans="1:18" x14ac:dyDescent="0.45">
      <c r="A131" s="177" t="s">
        <v>602</v>
      </c>
      <c r="B131" s="177" t="s">
        <v>19</v>
      </c>
      <c r="C131" s="177" t="s">
        <v>1926</v>
      </c>
      <c r="D131" s="177" t="s">
        <v>603</v>
      </c>
      <c r="E131" s="177"/>
      <c r="F131" s="177" t="s">
        <v>93</v>
      </c>
      <c r="G131" s="177" t="s">
        <v>604</v>
      </c>
      <c r="H131" s="177"/>
      <c r="I131" s="177"/>
      <c r="J131" s="177"/>
      <c r="K131" s="177"/>
      <c r="L131" s="181" t="s">
        <v>23</v>
      </c>
      <c r="M131" s="177" t="s">
        <v>605</v>
      </c>
      <c r="N131" s="177"/>
      <c r="O131"/>
      <c r="P131"/>
      <c r="Q131"/>
      <c r="R131"/>
    </row>
    <row r="132" spans="1:18" x14ac:dyDescent="0.45">
      <c r="A132" s="177" t="s">
        <v>265</v>
      </c>
      <c r="B132" s="177" t="s">
        <v>19</v>
      </c>
      <c r="C132" s="177" t="s">
        <v>1926</v>
      </c>
      <c r="D132" s="177" t="s">
        <v>266</v>
      </c>
      <c r="E132" s="177" t="s">
        <v>267</v>
      </c>
      <c r="F132" s="177" t="s">
        <v>21</v>
      </c>
      <c r="G132" s="177">
        <v>36965</v>
      </c>
      <c r="H132" s="177">
        <v>36965</v>
      </c>
      <c r="I132" s="177" t="s">
        <v>268</v>
      </c>
      <c r="J132" s="177">
        <v>2014</v>
      </c>
      <c r="K132" s="177" t="s">
        <v>269</v>
      </c>
      <c r="L132" s="178" t="s">
        <v>30</v>
      </c>
      <c r="M132" s="177"/>
      <c r="N132" s="177" t="s">
        <v>21</v>
      </c>
      <c r="O132"/>
      <c r="P132"/>
      <c r="Q132"/>
      <c r="R132"/>
    </row>
    <row r="133" spans="1:18" x14ac:dyDescent="0.45">
      <c r="A133" s="177" t="s">
        <v>411</v>
      </c>
      <c r="B133" s="177" t="s">
        <v>19</v>
      </c>
      <c r="C133" s="177" t="s">
        <v>1926</v>
      </c>
      <c r="D133" s="177" t="s">
        <v>412</v>
      </c>
      <c r="E133" s="177"/>
      <c r="F133" s="177" t="s">
        <v>413</v>
      </c>
      <c r="G133" s="177">
        <v>71780</v>
      </c>
      <c r="H133" s="177"/>
      <c r="I133" s="180">
        <v>45694</v>
      </c>
      <c r="J133" s="177">
        <v>2025</v>
      </c>
      <c r="K133" s="177" t="s">
        <v>78</v>
      </c>
      <c r="L133" s="179" t="s">
        <v>79</v>
      </c>
      <c r="M133" s="177"/>
      <c r="N133" s="177" t="s">
        <v>413</v>
      </c>
      <c r="O133"/>
      <c r="P133"/>
      <c r="Q133"/>
      <c r="R133"/>
    </row>
    <row r="134" spans="1:18" x14ac:dyDescent="0.45">
      <c r="A134" s="177" t="s">
        <v>639</v>
      </c>
      <c r="B134" s="177" t="s">
        <v>19</v>
      </c>
      <c r="C134" s="177" t="s">
        <v>1926</v>
      </c>
      <c r="D134" s="177" t="s">
        <v>640</v>
      </c>
      <c r="E134" s="177"/>
      <c r="F134" s="177" t="s">
        <v>1912</v>
      </c>
      <c r="G134" s="177" t="s">
        <v>641</v>
      </c>
      <c r="H134" s="177" t="s">
        <v>642</v>
      </c>
      <c r="I134" s="177"/>
      <c r="J134" s="177"/>
      <c r="K134" s="177" t="s">
        <v>499</v>
      </c>
      <c r="L134" s="185" t="s">
        <v>280</v>
      </c>
      <c r="M134" s="177" t="s">
        <v>643</v>
      </c>
      <c r="N134" s="177" t="s">
        <v>290</v>
      </c>
      <c r="O134"/>
      <c r="P134"/>
      <c r="Q134"/>
      <c r="R134"/>
    </row>
    <row r="135" spans="1:18" x14ac:dyDescent="0.45">
      <c r="A135" s="177" t="s">
        <v>121</v>
      </c>
      <c r="B135" s="177" t="s">
        <v>19</v>
      </c>
      <c r="C135" s="177" t="s">
        <v>1926</v>
      </c>
      <c r="D135" s="177" t="s">
        <v>122</v>
      </c>
      <c r="E135" s="177" t="s">
        <v>123</v>
      </c>
      <c r="F135" s="177" t="s">
        <v>21</v>
      </c>
      <c r="G135" s="177">
        <v>39542</v>
      </c>
      <c r="H135" s="177">
        <v>39542</v>
      </c>
      <c r="I135" s="177" t="s">
        <v>124</v>
      </c>
      <c r="J135" s="177">
        <v>2016</v>
      </c>
      <c r="K135" s="177" t="s">
        <v>125</v>
      </c>
      <c r="L135" s="178" t="s">
        <v>30</v>
      </c>
      <c r="M135" s="177"/>
      <c r="N135" s="177" t="s">
        <v>21</v>
      </c>
      <c r="O135"/>
      <c r="P135"/>
      <c r="Q135"/>
      <c r="R135"/>
    </row>
    <row r="136" spans="1:18" x14ac:dyDescent="0.45">
      <c r="A136" s="177" t="s">
        <v>689</v>
      </c>
      <c r="B136" s="177" t="s">
        <v>19</v>
      </c>
      <c r="C136" s="177" t="s">
        <v>1926</v>
      </c>
      <c r="D136" s="177" t="s">
        <v>690</v>
      </c>
      <c r="E136" s="177" t="s">
        <v>691</v>
      </c>
      <c r="F136" s="177" t="s">
        <v>21</v>
      </c>
      <c r="G136" s="177">
        <v>38269</v>
      </c>
      <c r="H136" s="177"/>
      <c r="I136" s="180">
        <v>42284</v>
      </c>
      <c r="J136" s="177">
        <v>2015</v>
      </c>
      <c r="K136" s="177"/>
      <c r="L136" s="181" t="s">
        <v>23</v>
      </c>
      <c r="M136" s="177"/>
      <c r="N136" s="177"/>
      <c r="O136"/>
      <c r="P136"/>
      <c r="Q136"/>
      <c r="R136"/>
    </row>
    <row r="137" spans="1:18" x14ac:dyDescent="0.45">
      <c r="A137" s="177" t="s">
        <v>126</v>
      </c>
      <c r="B137" s="177" t="s">
        <v>19</v>
      </c>
      <c r="C137" s="177" t="s">
        <v>1926</v>
      </c>
      <c r="D137" s="177" t="s">
        <v>127</v>
      </c>
      <c r="E137" s="177" t="s">
        <v>128</v>
      </c>
      <c r="F137" s="177" t="s">
        <v>21</v>
      </c>
      <c r="G137" s="177">
        <v>37273</v>
      </c>
      <c r="H137" s="177"/>
      <c r="I137" s="180">
        <v>41859</v>
      </c>
      <c r="J137" s="177">
        <v>2014</v>
      </c>
      <c r="K137" s="177"/>
      <c r="L137" s="181" t="s">
        <v>23</v>
      </c>
      <c r="M137" s="177"/>
      <c r="N137" s="177"/>
      <c r="O137"/>
      <c r="P137"/>
      <c r="Q137"/>
      <c r="R137"/>
    </row>
    <row r="138" spans="1:18" x14ac:dyDescent="0.45">
      <c r="A138" s="177" t="s">
        <v>175</v>
      </c>
      <c r="B138" s="177" t="s">
        <v>19</v>
      </c>
      <c r="C138" s="177" t="s">
        <v>1926</v>
      </c>
      <c r="D138" s="177" t="s">
        <v>176</v>
      </c>
      <c r="E138" s="177" t="s">
        <v>177</v>
      </c>
      <c r="F138" s="177" t="s">
        <v>21</v>
      </c>
      <c r="G138" s="177">
        <v>36097</v>
      </c>
      <c r="H138" s="177">
        <v>36097</v>
      </c>
      <c r="I138" s="180">
        <v>41493</v>
      </c>
      <c r="J138" s="177">
        <v>2013</v>
      </c>
      <c r="K138" s="177"/>
      <c r="L138" s="181" t="s">
        <v>23</v>
      </c>
      <c r="M138" s="177"/>
      <c r="N138" s="177" t="s">
        <v>21</v>
      </c>
      <c r="O138"/>
      <c r="P138"/>
      <c r="Q138"/>
      <c r="R138"/>
    </row>
    <row r="139" spans="1:18" x14ac:dyDescent="0.45">
      <c r="A139" s="183" t="s">
        <v>2297</v>
      </c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/>
      <c r="P139"/>
      <c r="Q139"/>
      <c r="R139"/>
    </row>
    <row r="140" spans="1:18" x14ac:dyDescent="0.45">
      <c r="A140" s="177" t="s">
        <v>229</v>
      </c>
      <c r="B140" s="177" t="s">
        <v>19</v>
      </c>
      <c r="C140" s="177" t="s">
        <v>1950</v>
      </c>
      <c r="D140" s="177" t="s">
        <v>230</v>
      </c>
      <c r="E140" s="177" t="s">
        <v>231</v>
      </c>
      <c r="F140" s="177" t="s">
        <v>21</v>
      </c>
      <c r="G140" s="177">
        <v>39099</v>
      </c>
      <c r="H140" s="177">
        <v>43312</v>
      </c>
      <c r="I140" s="180">
        <v>42557</v>
      </c>
      <c r="J140" s="177">
        <v>2016</v>
      </c>
      <c r="K140" s="177" t="s">
        <v>232</v>
      </c>
      <c r="L140" s="178" t="s">
        <v>30</v>
      </c>
      <c r="M140" s="177"/>
      <c r="N140" s="177" t="s">
        <v>21</v>
      </c>
      <c r="O140"/>
      <c r="P140"/>
      <c r="Q140"/>
      <c r="R140"/>
    </row>
    <row r="141" spans="1:18" x14ac:dyDescent="0.45">
      <c r="A141" s="177" t="s">
        <v>556</v>
      </c>
      <c r="B141" s="177" t="s">
        <v>19</v>
      </c>
      <c r="C141" s="177" t="s">
        <v>1950</v>
      </c>
      <c r="D141" s="177" t="s">
        <v>557</v>
      </c>
      <c r="E141" s="177" t="s">
        <v>558</v>
      </c>
      <c r="F141" s="177" t="s">
        <v>21</v>
      </c>
      <c r="G141" s="177">
        <v>35507</v>
      </c>
      <c r="H141" s="177">
        <v>35227</v>
      </c>
      <c r="I141" s="177" t="s">
        <v>444</v>
      </c>
      <c r="J141" s="177">
        <v>2012</v>
      </c>
      <c r="K141" s="177" t="s">
        <v>445</v>
      </c>
      <c r="L141" s="178" t="s">
        <v>30</v>
      </c>
      <c r="M141" s="177"/>
      <c r="N141" s="177" t="s">
        <v>21</v>
      </c>
      <c r="O141"/>
      <c r="P141"/>
      <c r="Q141"/>
      <c r="R141"/>
    </row>
    <row r="142" spans="1:18" x14ac:dyDescent="0.45">
      <c r="A142" s="177" t="s">
        <v>110</v>
      </c>
      <c r="B142" s="177" t="s">
        <v>19</v>
      </c>
      <c r="C142" s="177" t="s">
        <v>1950</v>
      </c>
      <c r="D142" s="177" t="s">
        <v>111</v>
      </c>
      <c r="E142" s="177" t="s">
        <v>112</v>
      </c>
      <c r="F142" s="177" t="s">
        <v>21</v>
      </c>
      <c r="G142" s="177">
        <v>41390</v>
      </c>
      <c r="H142" s="177"/>
      <c r="I142" s="180">
        <v>42805</v>
      </c>
      <c r="J142" s="177">
        <v>2017</v>
      </c>
      <c r="K142" s="177"/>
      <c r="L142" s="181" t="s">
        <v>23</v>
      </c>
      <c r="M142" s="177"/>
      <c r="N142" s="177"/>
      <c r="O142"/>
      <c r="P142"/>
      <c r="Q142"/>
      <c r="R142"/>
    </row>
    <row r="143" spans="1:18" x14ac:dyDescent="0.45">
      <c r="A143" s="177" t="s">
        <v>667</v>
      </c>
      <c r="B143" s="177" t="s">
        <v>19</v>
      </c>
      <c r="C143" s="177" t="s">
        <v>1950</v>
      </c>
      <c r="D143" s="177" t="s">
        <v>668</v>
      </c>
      <c r="E143" s="177" t="s">
        <v>669</v>
      </c>
      <c r="F143" s="177" t="s">
        <v>21</v>
      </c>
      <c r="G143" s="177">
        <v>38268</v>
      </c>
      <c r="H143" s="177"/>
      <c r="I143" s="180">
        <v>42284</v>
      </c>
      <c r="J143" s="177">
        <v>2015</v>
      </c>
      <c r="K143" s="177"/>
      <c r="L143" s="181" t="s">
        <v>23</v>
      </c>
      <c r="M143" s="177"/>
      <c r="N143" s="177"/>
      <c r="O143"/>
      <c r="P143"/>
      <c r="Q143"/>
      <c r="R143"/>
    </row>
    <row r="144" spans="1:18" x14ac:dyDescent="0.45">
      <c r="A144" s="177" t="s">
        <v>686</v>
      </c>
      <c r="B144" s="177" t="s">
        <v>19</v>
      </c>
      <c r="C144" s="177" t="s">
        <v>1950</v>
      </c>
      <c r="D144" s="177" t="s">
        <v>687</v>
      </c>
      <c r="E144" s="177" t="s">
        <v>688</v>
      </c>
      <c r="F144" s="177" t="s">
        <v>21</v>
      </c>
      <c r="G144" s="177">
        <v>38374</v>
      </c>
      <c r="H144" s="177">
        <v>38374</v>
      </c>
      <c r="I144" s="180">
        <v>42072</v>
      </c>
      <c r="J144" s="177">
        <v>2015</v>
      </c>
      <c r="K144" s="177" t="s">
        <v>236</v>
      </c>
      <c r="L144" s="178" t="s">
        <v>30</v>
      </c>
      <c r="M144" s="177"/>
      <c r="N144" s="177" t="s">
        <v>21</v>
      </c>
      <c r="O144"/>
      <c r="P144"/>
      <c r="Q144"/>
      <c r="R144"/>
    </row>
    <row r="145" spans="1:18" x14ac:dyDescent="0.45">
      <c r="A145" s="177" t="s">
        <v>692</v>
      </c>
      <c r="B145" s="177" t="s">
        <v>19</v>
      </c>
      <c r="C145" s="177" t="s">
        <v>1950</v>
      </c>
      <c r="D145" s="177" t="s">
        <v>693</v>
      </c>
      <c r="E145" s="177" t="s">
        <v>694</v>
      </c>
      <c r="F145" s="177" t="s">
        <v>21</v>
      </c>
      <c r="G145" s="177">
        <v>39401</v>
      </c>
      <c r="H145" s="177"/>
      <c r="I145" s="177" t="s">
        <v>695</v>
      </c>
      <c r="J145" s="177">
        <v>2016</v>
      </c>
      <c r="K145" s="177"/>
      <c r="L145" s="181" t="s">
        <v>23</v>
      </c>
      <c r="M145" s="177"/>
      <c r="N145" s="177" t="s">
        <v>21</v>
      </c>
      <c r="O145"/>
      <c r="P145"/>
      <c r="Q145"/>
      <c r="R145"/>
    </row>
    <row r="146" spans="1:18" x14ac:dyDescent="0.45">
      <c r="A146" s="177" t="s">
        <v>696</v>
      </c>
      <c r="B146" s="177" t="s">
        <v>19</v>
      </c>
      <c r="C146" s="177" t="s">
        <v>1950</v>
      </c>
      <c r="D146" s="177" t="s">
        <v>697</v>
      </c>
      <c r="E146" s="177" t="s">
        <v>698</v>
      </c>
      <c r="F146" s="177" t="s">
        <v>21</v>
      </c>
      <c r="G146" s="177">
        <v>41391</v>
      </c>
      <c r="H146" s="177"/>
      <c r="I146" s="180">
        <v>42805</v>
      </c>
      <c r="J146" s="177">
        <v>2017</v>
      </c>
      <c r="K146" s="177"/>
      <c r="L146" s="181" t="s">
        <v>23</v>
      </c>
      <c r="M146" s="177"/>
      <c r="N146" s="177" t="s">
        <v>21</v>
      </c>
      <c r="O146"/>
      <c r="P146"/>
      <c r="Q146"/>
      <c r="R146"/>
    </row>
    <row r="147" spans="1:18" x14ac:dyDescent="0.45">
      <c r="A147" s="177" t="s">
        <v>699</v>
      </c>
      <c r="B147" s="177" t="s">
        <v>19</v>
      </c>
      <c r="C147" s="177" t="s">
        <v>1950</v>
      </c>
      <c r="D147" s="177" t="s">
        <v>700</v>
      </c>
      <c r="E147" s="177" t="s">
        <v>701</v>
      </c>
      <c r="F147" s="177" t="s">
        <v>21</v>
      </c>
      <c r="G147" s="177">
        <v>47857</v>
      </c>
      <c r="H147" s="177"/>
      <c r="I147" s="177" t="s">
        <v>424</v>
      </c>
      <c r="J147" s="177">
        <v>2019</v>
      </c>
      <c r="K147" s="177" t="s">
        <v>425</v>
      </c>
      <c r="L147" s="178" t="s">
        <v>30</v>
      </c>
      <c r="M147" s="177"/>
      <c r="N147" s="177" t="s">
        <v>21</v>
      </c>
      <c r="O147"/>
      <c r="P147"/>
      <c r="Q147"/>
      <c r="R147"/>
    </row>
    <row r="148" spans="1:18" x14ac:dyDescent="0.45">
      <c r="A148" s="177" t="s">
        <v>134</v>
      </c>
      <c r="B148" s="177" t="s">
        <v>19</v>
      </c>
      <c r="C148" s="177" t="s">
        <v>1950</v>
      </c>
      <c r="D148" s="177" t="s">
        <v>135</v>
      </c>
      <c r="E148" s="177" t="s">
        <v>136</v>
      </c>
      <c r="F148" s="177" t="s">
        <v>21</v>
      </c>
      <c r="G148" s="177">
        <v>39607</v>
      </c>
      <c r="H148" s="177">
        <v>43434</v>
      </c>
      <c r="I148" s="177" t="s">
        <v>137</v>
      </c>
      <c r="J148" s="177">
        <v>2016</v>
      </c>
      <c r="K148" s="177" t="s">
        <v>125</v>
      </c>
      <c r="L148" s="178" t="s">
        <v>30</v>
      </c>
      <c r="M148" s="177"/>
      <c r="N148" s="177" t="s">
        <v>21</v>
      </c>
      <c r="O148"/>
      <c r="P148"/>
      <c r="Q148"/>
      <c r="R148"/>
    </row>
    <row r="149" spans="1:18" x14ac:dyDescent="0.45">
      <c r="A149" s="177" t="s">
        <v>138</v>
      </c>
      <c r="B149" s="177" t="s">
        <v>19</v>
      </c>
      <c r="C149" s="177" t="s">
        <v>1950</v>
      </c>
      <c r="D149" s="177" t="s">
        <v>139</v>
      </c>
      <c r="E149" s="177" t="s">
        <v>140</v>
      </c>
      <c r="F149" s="177" t="s">
        <v>21</v>
      </c>
      <c r="G149" s="177">
        <v>38448</v>
      </c>
      <c r="H149" s="177"/>
      <c r="I149" s="177" t="s">
        <v>141</v>
      </c>
      <c r="J149" s="177">
        <v>2015</v>
      </c>
      <c r="K149" s="177"/>
      <c r="L149" s="181" t="s">
        <v>23</v>
      </c>
      <c r="M149" s="177"/>
      <c r="N149" s="177" t="s">
        <v>21</v>
      </c>
      <c r="O149"/>
      <c r="P149"/>
      <c r="Q149"/>
      <c r="R149"/>
    </row>
    <row r="150" spans="1:18" x14ac:dyDescent="0.45">
      <c r="A150" s="177" t="s">
        <v>142</v>
      </c>
      <c r="B150" s="177" t="s">
        <v>19</v>
      </c>
      <c r="C150" s="177" t="s">
        <v>1950</v>
      </c>
      <c r="D150" s="177" t="s">
        <v>143</v>
      </c>
      <c r="E150" s="177" t="s">
        <v>144</v>
      </c>
      <c r="F150" s="177" t="s">
        <v>21</v>
      </c>
      <c r="G150" s="177">
        <v>51963</v>
      </c>
      <c r="H150" s="177"/>
      <c r="I150" s="177" t="s">
        <v>132</v>
      </c>
      <c r="J150" s="177">
        <v>2020</v>
      </c>
      <c r="K150" s="177" t="s">
        <v>145</v>
      </c>
      <c r="L150" s="178" t="s">
        <v>30</v>
      </c>
      <c r="M150" s="177"/>
      <c r="N150" s="177" t="s">
        <v>21</v>
      </c>
      <c r="O150"/>
      <c r="P150"/>
      <c r="Q150"/>
      <c r="R150"/>
    </row>
    <row r="151" spans="1:18" x14ac:dyDescent="0.45">
      <c r="A151" s="177" t="s">
        <v>713</v>
      </c>
      <c r="B151" s="177" t="s">
        <v>19</v>
      </c>
      <c r="C151" s="177" t="s">
        <v>1950</v>
      </c>
      <c r="D151" s="177" t="s">
        <v>714</v>
      </c>
      <c r="E151" s="177" t="s">
        <v>715</v>
      </c>
      <c r="F151" s="177" t="s">
        <v>21</v>
      </c>
      <c r="G151" s="177">
        <v>47830</v>
      </c>
      <c r="H151" s="177">
        <v>47830</v>
      </c>
      <c r="I151" s="177" t="s">
        <v>716</v>
      </c>
      <c r="J151" s="177">
        <v>2019</v>
      </c>
      <c r="K151" s="177" t="s">
        <v>403</v>
      </c>
      <c r="L151" s="178" t="s">
        <v>30</v>
      </c>
      <c r="M151" s="177"/>
      <c r="N151" s="177" t="s">
        <v>21</v>
      </c>
      <c r="O151"/>
      <c r="P151"/>
      <c r="Q151"/>
      <c r="R151"/>
    </row>
    <row r="152" spans="1:18" x14ac:dyDescent="0.45">
      <c r="A152" s="177" t="s">
        <v>717</v>
      </c>
      <c r="B152" s="177" t="s">
        <v>19</v>
      </c>
      <c r="C152" s="177" t="s">
        <v>1950</v>
      </c>
      <c r="D152" s="177" t="s">
        <v>718</v>
      </c>
      <c r="E152" s="177" t="s">
        <v>719</v>
      </c>
      <c r="F152" s="177" t="s">
        <v>21</v>
      </c>
      <c r="G152" s="177">
        <v>44366</v>
      </c>
      <c r="H152" s="177">
        <v>44366</v>
      </c>
      <c r="I152" s="177" t="s">
        <v>116</v>
      </c>
      <c r="J152" s="177">
        <v>2018</v>
      </c>
      <c r="K152" s="177" t="s">
        <v>720</v>
      </c>
      <c r="L152" s="178" t="s">
        <v>30</v>
      </c>
      <c r="M152" s="177"/>
      <c r="N152" s="177" t="s">
        <v>721</v>
      </c>
      <c r="O152"/>
      <c r="P152"/>
      <c r="Q152"/>
      <c r="R152"/>
    </row>
    <row r="153" spans="1:18" x14ac:dyDescent="0.45">
      <c r="A153" s="177" t="s">
        <v>146</v>
      </c>
      <c r="B153" s="177" t="s">
        <v>19</v>
      </c>
      <c r="C153" s="177" t="s">
        <v>1950</v>
      </c>
      <c r="D153" s="177" t="s">
        <v>147</v>
      </c>
      <c r="E153" s="177" t="s">
        <v>148</v>
      </c>
      <c r="F153" s="177" t="s">
        <v>21</v>
      </c>
      <c r="G153" s="177">
        <v>51959</v>
      </c>
      <c r="H153" s="177"/>
      <c r="I153" s="177" t="s">
        <v>149</v>
      </c>
      <c r="J153" s="177">
        <v>2020</v>
      </c>
      <c r="K153" s="177" t="s">
        <v>150</v>
      </c>
      <c r="L153" s="178" t="s">
        <v>30</v>
      </c>
      <c r="M153" s="177"/>
      <c r="N153" s="177" t="s">
        <v>21</v>
      </c>
      <c r="O153"/>
      <c r="P153"/>
      <c r="Q153"/>
      <c r="R153"/>
    </row>
    <row r="154" spans="1:18" x14ac:dyDescent="0.45">
      <c r="A154" s="177" t="s">
        <v>722</v>
      </c>
      <c r="B154" s="177" t="s">
        <v>19</v>
      </c>
      <c r="C154" s="177" t="s">
        <v>1950</v>
      </c>
      <c r="D154" s="177" t="s">
        <v>723</v>
      </c>
      <c r="E154" s="177" t="s">
        <v>724</v>
      </c>
      <c r="F154" s="177" t="s">
        <v>21</v>
      </c>
      <c r="G154" s="177">
        <v>51965</v>
      </c>
      <c r="H154" s="177"/>
      <c r="I154" s="177" t="s">
        <v>132</v>
      </c>
      <c r="J154" s="177">
        <v>2020</v>
      </c>
      <c r="K154" s="177" t="s">
        <v>150</v>
      </c>
      <c r="L154" s="178" t="s">
        <v>30</v>
      </c>
      <c r="M154" s="177"/>
      <c r="N154" s="177" t="s">
        <v>725</v>
      </c>
      <c r="O154"/>
      <c r="P154"/>
      <c r="Q154"/>
      <c r="R154"/>
    </row>
    <row r="155" spans="1:18" x14ac:dyDescent="0.45">
      <c r="A155" s="177" t="s">
        <v>730</v>
      </c>
      <c r="B155" s="177" t="s">
        <v>19</v>
      </c>
      <c r="C155" s="177" t="s">
        <v>1950</v>
      </c>
      <c r="D155" s="177" t="s">
        <v>731</v>
      </c>
      <c r="E155" s="177" t="s">
        <v>732</v>
      </c>
      <c r="F155" s="177" t="s">
        <v>21</v>
      </c>
      <c r="G155" s="177">
        <v>43336</v>
      </c>
      <c r="H155" s="177">
        <v>43336</v>
      </c>
      <c r="I155" s="177" t="s">
        <v>733</v>
      </c>
      <c r="J155" s="177">
        <v>2018</v>
      </c>
      <c r="K155" s="177" t="s">
        <v>432</v>
      </c>
      <c r="L155" s="178" t="s">
        <v>30</v>
      </c>
      <c r="M155" s="177"/>
      <c r="N155" s="177" t="s">
        <v>734</v>
      </c>
      <c r="O155"/>
      <c r="P155"/>
      <c r="Q155"/>
      <c r="R155"/>
    </row>
    <row r="156" spans="1:18" x14ac:dyDescent="0.45">
      <c r="A156" s="177" t="s">
        <v>735</v>
      </c>
      <c r="B156" s="177" t="s">
        <v>19</v>
      </c>
      <c r="C156" s="177" t="s">
        <v>1950</v>
      </c>
      <c r="D156" s="177" t="s">
        <v>736</v>
      </c>
      <c r="E156" s="177" t="s">
        <v>737</v>
      </c>
      <c r="F156" s="177" t="s">
        <v>21</v>
      </c>
      <c r="G156" s="177">
        <v>45886</v>
      </c>
      <c r="H156" s="177">
        <v>45886</v>
      </c>
      <c r="I156" s="177" t="s">
        <v>738</v>
      </c>
      <c r="J156" s="177">
        <v>2019</v>
      </c>
      <c r="K156" s="177" t="s">
        <v>739</v>
      </c>
      <c r="L156" s="178" t="s">
        <v>30</v>
      </c>
      <c r="M156" s="177"/>
      <c r="N156" s="177" t="s">
        <v>734</v>
      </c>
      <c r="O156"/>
      <c r="P156"/>
      <c r="Q156"/>
      <c r="R156"/>
    </row>
    <row r="157" spans="1:18" x14ac:dyDescent="0.45">
      <c r="A157" s="177" t="s">
        <v>740</v>
      </c>
      <c r="B157" s="177" t="s">
        <v>19</v>
      </c>
      <c r="C157" s="177" t="s">
        <v>1950</v>
      </c>
      <c r="D157" s="177" t="s">
        <v>741</v>
      </c>
      <c r="E157" s="177" t="s">
        <v>742</v>
      </c>
      <c r="F157" s="177" t="s">
        <v>21</v>
      </c>
      <c r="G157" s="177">
        <v>36096</v>
      </c>
      <c r="H157" s="177">
        <v>36096</v>
      </c>
      <c r="I157" s="180">
        <v>41493</v>
      </c>
      <c r="J157" s="177">
        <v>2013</v>
      </c>
      <c r="K157" s="177"/>
      <c r="L157" s="181" t="s">
        <v>23</v>
      </c>
      <c r="M157" s="177"/>
      <c r="N157" s="177"/>
      <c r="O157"/>
      <c r="P157"/>
      <c r="Q157"/>
      <c r="R157"/>
    </row>
    <row r="158" spans="1:18" x14ac:dyDescent="0.45">
      <c r="A158" s="177" t="s">
        <v>746</v>
      </c>
      <c r="B158" s="177" t="s">
        <v>19</v>
      </c>
      <c r="C158" s="177" t="s">
        <v>1950</v>
      </c>
      <c r="D158" s="177" t="s">
        <v>747</v>
      </c>
      <c r="E158" s="177" t="s">
        <v>748</v>
      </c>
      <c r="F158" s="177" t="s">
        <v>21</v>
      </c>
      <c r="G158" s="177">
        <v>44423</v>
      </c>
      <c r="H158" s="177">
        <v>44423</v>
      </c>
      <c r="I158" s="177" t="s">
        <v>749</v>
      </c>
      <c r="J158" s="177">
        <v>2018</v>
      </c>
      <c r="K158" s="177" t="s">
        <v>739</v>
      </c>
      <c r="L158" s="178" t="s">
        <v>30</v>
      </c>
      <c r="M158" s="177"/>
      <c r="N158" s="177" t="s">
        <v>750</v>
      </c>
      <c r="O158"/>
      <c r="P158"/>
      <c r="Q158"/>
      <c r="R158"/>
    </row>
    <row r="159" spans="1:18" x14ac:dyDescent="0.45">
      <c r="A159" s="183" t="s">
        <v>2298</v>
      </c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/>
      <c r="P159"/>
      <c r="Q159"/>
      <c r="R159"/>
    </row>
    <row r="160" spans="1:18" x14ac:dyDescent="0.45">
      <c r="A160" s="177" t="s">
        <v>18</v>
      </c>
      <c r="B160" s="177" t="s">
        <v>19</v>
      </c>
      <c r="C160" s="177" t="s">
        <v>1975</v>
      </c>
      <c r="D160" s="177" t="s">
        <v>20</v>
      </c>
      <c r="E160" s="177"/>
      <c r="F160" s="177" t="s">
        <v>21</v>
      </c>
      <c r="G160" s="177">
        <v>44371</v>
      </c>
      <c r="H160" s="177"/>
      <c r="I160" s="177" t="s">
        <v>22</v>
      </c>
      <c r="J160" s="177">
        <v>2018</v>
      </c>
      <c r="K160" s="177"/>
      <c r="L160" s="181" t="s">
        <v>23</v>
      </c>
      <c r="M160" s="177"/>
      <c r="N160" s="177"/>
      <c r="O160"/>
      <c r="P160"/>
      <c r="Q160"/>
      <c r="R160"/>
    </row>
    <row r="161" spans="1:18" x14ac:dyDescent="0.45">
      <c r="A161" s="177" t="s">
        <v>25</v>
      </c>
      <c r="B161" s="177" t="s">
        <v>19</v>
      </c>
      <c r="C161" s="177" t="s">
        <v>1975</v>
      </c>
      <c r="D161" s="177" t="s">
        <v>26</v>
      </c>
      <c r="E161" s="177" t="s">
        <v>27</v>
      </c>
      <c r="F161" s="177" t="s">
        <v>21</v>
      </c>
      <c r="G161" s="177">
        <v>46989</v>
      </c>
      <c r="H161" s="177"/>
      <c r="I161" s="177" t="s">
        <v>28</v>
      </c>
      <c r="J161" s="177">
        <v>2019</v>
      </c>
      <c r="K161" s="177" t="s">
        <v>29</v>
      </c>
      <c r="L161" s="178" t="s">
        <v>30</v>
      </c>
      <c r="M161" s="177"/>
      <c r="N161" s="177" t="s">
        <v>31</v>
      </c>
      <c r="O161"/>
      <c r="P161"/>
      <c r="Q161"/>
      <c r="R161"/>
    </row>
    <row r="162" spans="1:18" x14ac:dyDescent="0.45">
      <c r="A162" s="177" t="s">
        <v>160</v>
      </c>
      <c r="B162" s="177" t="s">
        <v>19</v>
      </c>
      <c r="C162" s="177" t="s">
        <v>1975</v>
      </c>
      <c r="D162" s="177" t="s">
        <v>161</v>
      </c>
      <c r="E162" s="177" t="s">
        <v>162</v>
      </c>
      <c r="F162" s="177" t="s">
        <v>21</v>
      </c>
      <c r="G162" s="177">
        <v>34305</v>
      </c>
      <c r="H162" s="177">
        <v>34265</v>
      </c>
      <c r="I162" s="177" t="s">
        <v>163</v>
      </c>
      <c r="J162" s="177">
        <v>2011</v>
      </c>
      <c r="K162" s="177" t="s">
        <v>164</v>
      </c>
      <c r="L162" s="178" t="s">
        <v>30</v>
      </c>
      <c r="M162" s="177"/>
      <c r="N162" s="177" t="s">
        <v>21</v>
      </c>
      <c r="O162"/>
      <c r="P162"/>
      <c r="Q162"/>
      <c r="R162"/>
    </row>
    <row r="163" spans="1:18" x14ac:dyDescent="0.45">
      <c r="A163" s="177" t="s">
        <v>452</v>
      </c>
      <c r="B163" s="177" t="s">
        <v>19</v>
      </c>
      <c r="C163" s="177" t="s">
        <v>1975</v>
      </c>
      <c r="D163" s="177" t="s">
        <v>453</v>
      </c>
      <c r="E163" s="177" t="s">
        <v>454</v>
      </c>
      <c r="F163" s="177" t="s">
        <v>21</v>
      </c>
      <c r="G163" s="177">
        <v>34303</v>
      </c>
      <c r="H163" s="177">
        <v>34203</v>
      </c>
      <c r="I163" s="177" t="s">
        <v>163</v>
      </c>
      <c r="J163" s="177">
        <v>2011</v>
      </c>
      <c r="K163" s="177" t="s">
        <v>164</v>
      </c>
      <c r="L163" s="178" t="s">
        <v>30</v>
      </c>
      <c r="M163" s="177"/>
      <c r="N163" s="177" t="s">
        <v>21</v>
      </c>
      <c r="O163"/>
      <c r="P163"/>
      <c r="Q163"/>
      <c r="R163"/>
    </row>
    <row r="164" spans="1:18" x14ac:dyDescent="0.45">
      <c r="A164" s="177" t="s">
        <v>165</v>
      </c>
      <c r="B164" s="177" t="s">
        <v>19</v>
      </c>
      <c r="C164" s="177" t="s">
        <v>1975</v>
      </c>
      <c r="D164" s="177" t="s">
        <v>166</v>
      </c>
      <c r="E164" s="177" t="s">
        <v>167</v>
      </c>
      <c r="F164" s="177" t="s">
        <v>21</v>
      </c>
      <c r="G164" s="177">
        <v>34306</v>
      </c>
      <c r="H164" s="177">
        <v>34266</v>
      </c>
      <c r="I164" s="177" t="s">
        <v>163</v>
      </c>
      <c r="J164" s="177">
        <v>2011</v>
      </c>
      <c r="K164" s="177" t="s">
        <v>164</v>
      </c>
      <c r="L164" s="178" t="s">
        <v>30</v>
      </c>
      <c r="M164" s="177"/>
      <c r="N164" s="177" t="s">
        <v>21</v>
      </c>
      <c r="O164"/>
      <c r="P164"/>
      <c r="Q164"/>
      <c r="R164"/>
    </row>
    <row r="165" spans="1:18" x14ac:dyDescent="0.45">
      <c r="A165" s="177" t="s">
        <v>178</v>
      </c>
      <c r="B165" s="177" t="s">
        <v>19</v>
      </c>
      <c r="C165" s="177" t="s">
        <v>1975</v>
      </c>
      <c r="D165" s="177" t="s">
        <v>179</v>
      </c>
      <c r="E165" s="177"/>
      <c r="F165" s="177" t="s">
        <v>180</v>
      </c>
      <c r="G165" s="177" t="s">
        <v>181</v>
      </c>
      <c r="H165" s="177"/>
      <c r="I165" s="180">
        <v>45140</v>
      </c>
      <c r="J165" s="177">
        <v>2023</v>
      </c>
      <c r="K165" s="177" t="s">
        <v>106</v>
      </c>
      <c r="L165" s="182" t="s">
        <v>107</v>
      </c>
      <c r="M165" s="177"/>
      <c r="N165" s="177" t="s">
        <v>180</v>
      </c>
      <c r="O165"/>
      <c r="P165"/>
      <c r="Q165"/>
      <c r="R165"/>
    </row>
    <row r="166" spans="1:18" x14ac:dyDescent="0.45">
      <c r="A166" s="177" t="s">
        <v>515</v>
      </c>
      <c r="B166" s="177" t="s">
        <v>19</v>
      </c>
      <c r="C166" s="177" t="s">
        <v>1975</v>
      </c>
      <c r="D166" s="177" t="s">
        <v>516</v>
      </c>
      <c r="E166" s="177" t="s">
        <v>517</v>
      </c>
      <c r="F166" s="177" t="s">
        <v>21</v>
      </c>
      <c r="G166" s="177">
        <v>41743</v>
      </c>
      <c r="H166" s="177"/>
      <c r="I166" s="177" t="s">
        <v>219</v>
      </c>
      <c r="J166" s="177">
        <v>2017</v>
      </c>
      <c r="K166" s="177"/>
      <c r="L166" s="181" t="s">
        <v>23</v>
      </c>
      <c r="M166" s="177"/>
      <c r="N166" s="177" t="s">
        <v>21</v>
      </c>
      <c r="O166"/>
      <c r="P166"/>
      <c r="Q166"/>
      <c r="R166"/>
    </row>
    <row r="167" spans="1:18" x14ac:dyDescent="0.45">
      <c r="A167" s="177" t="s">
        <v>168</v>
      </c>
      <c r="B167" s="177" t="s">
        <v>19</v>
      </c>
      <c r="C167" s="177" t="s">
        <v>1975</v>
      </c>
      <c r="D167" s="177" t="s">
        <v>169</v>
      </c>
      <c r="E167" s="177"/>
      <c r="F167" s="177" t="s">
        <v>170</v>
      </c>
      <c r="G167" s="177" t="s">
        <v>171</v>
      </c>
      <c r="H167" s="177"/>
      <c r="I167" s="177" t="s">
        <v>172</v>
      </c>
      <c r="J167" s="177">
        <v>2022</v>
      </c>
      <c r="K167" s="177" t="s">
        <v>78</v>
      </c>
      <c r="L167" s="179" t="s">
        <v>79</v>
      </c>
      <c r="M167" s="177"/>
      <c r="N167" s="177" t="s">
        <v>170</v>
      </c>
      <c r="O167"/>
      <c r="P167"/>
      <c r="Q167"/>
      <c r="R167"/>
    </row>
    <row r="168" spans="1:18" x14ac:dyDescent="0.45">
      <c r="A168" s="177" t="s">
        <v>705</v>
      </c>
      <c r="B168" s="177" t="s">
        <v>19</v>
      </c>
      <c r="C168" s="177" t="s">
        <v>1975</v>
      </c>
      <c r="D168" s="177" t="s">
        <v>706</v>
      </c>
      <c r="E168" s="177" t="s">
        <v>707</v>
      </c>
      <c r="F168" s="177" t="s">
        <v>21</v>
      </c>
      <c r="G168" s="177">
        <v>38674</v>
      </c>
      <c r="H168" s="177">
        <v>38674</v>
      </c>
      <c r="I168" s="180">
        <v>42320</v>
      </c>
      <c r="J168" s="177">
        <v>2015</v>
      </c>
      <c r="K168" s="177" t="s">
        <v>584</v>
      </c>
      <c r="L168" s="178" t="s">
        <v>30</v>
      </c>
      <c r="M168" s="177"/>
      <c r="N168" s="177" t="s">
        <v>21</v>
      </c>
      <c r="O168"/>
      <c r="P168"/>
      <c r="Q168"/>
      <c r="R168"/>
    </row>
    <row r="169" spans="1:18" x14ac:dyDescent="0.45">
      <c r="A169" s="177" t="s">
        <v>708</v>
      </c>
      <c r="B169" s="177" t="s">
        <v>19</v>
      </c>
      <c r="C169" s="177" t="s">
        <v>1975</v>
      </c>
      <c r="D169" s="177" t="s">
        <v>709</v>
      </c>
      <c r="E169" s="177" t="s">
        <v>710</v>
      </c>
      <c r="F169" s="177" t="s">
        <v>21</v>
      </c>
      <c r="G169" s="177">
        <v>41733</v>
      </c>
      <c r="H169" s="177"/>
      <c r="I169" s="177" t="s">
        <v>711</v>
      </c>
      <c r="J169" s="177">
        <v>2017</v>
      </c>
      <c r="K169" s="177"/>
      <c r="L169" s="181" t="s">
        <v>23</v>
      </c>
      <c r="M169" s="177"/>
      <c r="N169" s="177" t="s">
        <v>712</v>
      </c>
      <c r="O169"/>
      <c r="P169"/>
      <c r="Q169"/>
      <c r="R169"/>
    </row>
    <row r="170" spans="1:18" x14ac:dyDescent="0.45">
      <c r="A170" s="183" t="s">
        <v>2299</v>
      </c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/>
      <c r="P170"/>
      <c r="Q170"/>
      <c r="R170"/>
    </row>
    <row r="171" spans="1:18" x14ac:dyDescent="0.45">
      <c r="A171" s="177" t="s">
        <v>156</v>
      </c>
      <c r="B171" s="177" t="s">
        <v>19</v>
      </c>
      <c r="C171" s="177" t="s">
        <v>1990</v>
      </c>
      <c r="D171" s="177" t="s">
        <v>157</v>
      </c>
      <c r="E171" s="177" t="s">
        <v>158</v>
      </c>
      <c r="F171" s="177" t="s">
        <v>21</v>
      </c>
      <c r="G171" s="177">
        <v>51962</v>
      </c>
      <c r="H171" s="177"/>
      <c r="I171" s="177" t="s">
        <v>159</v>
      </c>
      <c r="J171" s="177">
        <v>2020</v>
      </c>
      <c r="K171" s="177" t="s">
        <v>150</v>
      </c>
      <c r="L171" s="178" t="s">
        <v>30</v>
      </c>
      <c r="M171" s="177"/>
      <c r="N171" s="177" t="s">
        <v>21</v>
      </c>
      <c r="O171"/>
      <c r="P171"/>
      <c r="Q171"/>
      <c r="R171"/>
    </row>
    <row r="172" spans="1:18" x14ac:dyDescent="0.45">
      <c r="A172" s="177" t="s">
        <v>478</v>
      </c>
      <c r="B172" s="177" t="s">
        <v>19</v>
      </c>
      <c r="C172" s="177" t="s">
        <v>1990</v>
      </c>
      <c r="D172" s="177" t="s">
        <v>479</v>
      </c>
      <c r="E172" s="177" t="s">
        <v>480</v>
      </c>
      <c r="F172" s="177" t="s">
        <v>21</v>
      </c>
      <c r="G172" s="177">
        <v>47807</v>
      </c>
      <c r="H172" s="177"/>
      <c r="I172" s="177" t="s">
        <v>481</v>
      </c>
      <c r="J172" s="177">
        <v>2019</v>
      </c>
      <c r="K172" s="177" t="s">
        <v>403</v>
      </c>
      <c r="L172" s="178" t="s">
        <v>30</v>
      </c>
      <c r="M172" s="177"/>
      <c r="N172" s="177" t="s">
        <v>21</v>
      </c>
      <c r="O172"/>
      <c r="P172"/>
      <c r="Q172"/>
      <c r="R172"/>
    </row>
    <row r="173" spans="1:18" x14ac:dyDescent="0.45">
      <c r="A173" s="177" t="s">
        <v>312</v>
      </c>
      <c r="B173" s="177" t="s">
        <v>19</v>
      </c>
      <c r="C173" s="177" t="s">
        <v>1990</v>
      </c>
      <c r="D173" s="177" t="s">
        <v>313</v>
      </c>
      <c r="E173" s="177" t="s">
        <v>314</v>
      </c>
      <c r="F173" s="177" t="s">
        <v>21</v>
      </c>
      <c r="G173" s="177">
        <v>56599</v>
      </c>
      <c r="H173" s="177"/>
      <c r="I173" s="177" t="s">
        <v>315</v>
      </c>
      <c r="J173" s="177">
        <v>2022</v>
      </c>
      <c r="K173" s="177"/>
      <c r="L173" s="181" t="s">
        <v>23</v>
      </c>
      <c r="M173" s="177"/>
      <c r="N173" s="177" t="s">
        <v>21</v>
      </c>
      <c r="O173"/>
      <c r="P173"/>
      <c r="Q173"/>
      <c r="R173"/>
    </row>
    <row r="174" spans="1:18" x14ac:dyDescent="0.4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4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4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4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4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4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4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4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4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4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4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4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4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4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4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4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4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4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4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4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4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4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4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4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4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4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4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4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4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4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4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4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4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4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4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4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4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4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4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4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4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4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4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4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4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4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4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4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4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4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4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4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4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4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4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4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4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4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4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4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4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4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4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4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4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4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4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4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4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4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4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4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4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4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4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4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4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4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4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4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4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4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4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4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4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4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4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4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4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4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4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4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4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4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4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4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4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4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4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4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4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4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4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4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4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4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4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4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4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4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4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4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4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4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4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4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4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4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4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4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4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4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4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4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4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4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4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0"/>
  <sheetViews>
    <sheetView showGridLines="0" zoomScale="72" workbookViewId="0">
      <pane ySplit="2" topLeftCell="A67" activePane="bottomLeft" state="frozen"/>
      <selection activeCell="N1" sqref="N1"/>
      <selection pane="bottomLeft" sqref="A1:XFD1048576"/>
    </sheetView>
  </sheetViews>
  <sheetFormatPr baseColWidth="10" defaultColWidth="8.90625" defaultRowHeight="18.5" x14ac:dyDescent="0.45"/>
  <cols>
    <col min="1" max="1" width="94.54296875" style="1" bestFit="1" customWidth="1"/>
    <col min="2" max="2" width="53" style="1" bestFit="1" customWidth="1"/>
    <col min="3" max="3" width="86.6328125" style="1" bestFit="1" customWidth="1"/>
    <col min="4" max="4" width="241.453125" style="1" bestFit="1" customWidth="1"/>
    <col min="5" max="5" width="158.36328125" style="1" bestFit="1" customWidth="1"/>
    <col min="6" max="6" width="37.81640625" style="1" bestFit="1" customWidth="1"/>
    <col min="7" max="8" width="255.81640625" style="1" bestFit="1" customWidth="1"/>
    <col min="9" max="9" width="19.90625" style="1" bestFit="1" customWidth="1"/>
    <col min="10" max="10" width="9.90625" style="1" bestFit="1" customWidth="1"/>
    <col min="11" max="11" width="74.36328125" style="1" bestFit="1" customWidth="1"/>
    <col min="12" max="12" width="32.54296875" style="1" bestFit="1" customWidth="1"/>
    <col min="13" max="13" width="179" style="1" bestFit="1" customWidth="1"/>
    <col min="14" max="14" width="178.6328125" style="1" bestFit="1" customWidth="1"/>
    <col min="15" max="15" width="13.90625" style="1" bestFit="1" customWidth="1"/>
    <col min="16" max="16" width="17.54296875" style="1" bestFit="1" customWidth="1"/>
    <col min="17" max="17" width="21.36328125" style="1" bestFit="1" customWidth="1"/>
    <col min="18" max="18" width="26.453125" style="1" bestFit="1" customWidth="1"/>
    <col min="19" max="16384" width="8.90625" style="1"/>
  </cols>
  <sheetData>
    <row r="1" spans="1:18" x14ac:dyDescent="0.45">
      <c r="A1" s="285" t="s">
        <v>2300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/>
      <c r="P1"/>
      <c r="Q1"/>
      <c r="R1"/>
    </row>
    <row r="2" spans="1:18" x14ac:dyDescent="0.4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45">
      <c r="A3" s="187" t="s">
        <v>2301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/>
      <c r="P3"/>
      <c r="Q3"/>
      <c r="R3"/>
    </row>
    <row r="4" spans="1:18" x14ac:dyDescent="0.45">
      <c r="A4" s="177" t="s">
        <v>1040</v>
      </c>
      <c r="B4" s="177" t="s">
        <v>831</v>
      </c>
      <c r="C4" s="177" t="s">
        <v>1995</v>
      </c>
      <c r="D4" s="177" t="s">
        <v>1041</v>
      </c>
      <c r="E4" s="177" t="s">
        <v>1042</v>
      </c>
      <c r="F4" s="177" t="s">
        <v>21</v>
      </c>
      <c r="G4" s="177" t="s">
        <v>1043</v>
      </c>
      <c r="H4" s="177"/>
      <c r="I4" s="180">
        <v>42860</v>
      </c>
      <c r="J4" s="177">
        <v>2017</v>
      </c>
      <c r="K4" s="177"/>
      <c r="L4" s="184" t="s">
        <v>273</v>
      </c>
      <c r="M4" s="177"/>
      <c r="N4" s="177"/>
      <c r="O4"/>
      <c r="P4"/>
      <c r="Q4"/>
      <c r="R4"/>
    </row>
    <row r="5" spans="1:18" x14ac:dyDescent="0.45">
      <c r="A5" s="177" t="s">
        <v>1044</v>
      </c>
      <c r="B5" s="177" t="s">
        <v>831</v>
      </c>
      <c r="C5" s="177" t="s">
        <v>1995</v>
      </c>
      <c r="D5" s="177" t="s">
        <v>1045</v>
      </c>
      <c r="E5" s="177" t="s">
        <v>202</v>
      </c>
      <c r="F5" s="177" t="s">
        <v>21</v>
      </c>
      <c r="G5" s="177">
        <v>35675</v>
      </c>
      <c r="H5" s="177" t="s">
        <v>1046</v>
      </c>
      <c r="I5" s="177" t="s">
        <v>1047</v>
      </c>
      <c r="J5" s="177">
        <v>2013</v>
      </c>
      <c r="K5" s="177">
        <v>11</v>
      </c>
      <c r="L5" s="188" t="s">
        <v>1048</v>
      </c>
      <c r="M5" s="177"/>
      <c r="N5" s="177" t="s">
        <v>21</v>
      </c>
      <c r="O5"/>
      <c r="P5"/>
      <c r="Q5"/>
      <c r="R5"/>
    </row>
    <row r="6" spans="1:18" x14ac:dyDescent="0.45">
      <c r="A6" s="177" t="s">
        <v>1049</v>
      </c>
      <c r="B6" s="177" t="s">
        <v>831</v>
      </c>
      <c r="C6" s="177" t="s">
        <v>1995</v>
      </c>
      <c r="D6" s="177" t="s">
        <v>1050</v>
      </c>
      <c r="E6" s="177" t="s">
        <v>1051</v>
      </c>
      <c r="F6" s="177" t="s">
        <v>21</v>
      </c>
      <c r="G6" s="177">
        <v>35758</v>
      </c>
      <c r="H6" s="177" t="s">
        <v>1052</v>
      </c>
      <c r="I6" s="177" t="s">
        <v>1053</v>
      </c>
      <c r="J6" s="177">
        <v>2013</v>
      </c>
      <c r="K6" s="177">
        <v>11</v>
      </c>
      <c r="L6" s="188" t="s">
        <v>1048</v>
      </c>
      <c r="M6" s="177"/>
      <c r="N6" s="177" t="s">
        <v>21</v>
      </c>
      <c r="O6"/>
      <c r="P6"/>
      <c r="Q6"/>
      <c r="R6"/>
    </row>
    <row r="7" spans="1:18" x14ac:dyDescent="0.45">
      <c r="A7" s="177" t="s">
        <v>1054</v>
      </c>
      <c r="B7" s="177" t="s">
        <v>831</v>
      </c>
      <c r="C7" s="177" t="s">
        <v>1995</v>
      </c>
      <c r="D7" s="177" t="s">
        <v>1055</v>
      </c>
      <c r="E7" s="177" t="s">
        <v>1056</v>
      </c>
      <c r="F7" s="177" t="s">
        <v>21</v>
      </c>
      <c r="G7" s="177">
        <v>38720</v>
      </c>
      <c r="H7" s="177">
        <v>38720</v>
      </c>
      <c r="I7" s="177" t="s">
        <v>1057</v>
      </c>
      <c r="J7" s="177">
        <v>2015</v>
      </c>
      <c r="K7" s="177" t="s">
        <v>651</v>
      </c>
      <c r="L7" s="178" t="s">
        <v>30</v>
      </c>
      <c r="M7" s="177"/>
      <c r="N7" s="177" t="s">
        <v>21</v>
      </c>
      <c r="O7"/>
      <c r="P7"/>
      <c r="Q7"/>
      <c r="R7"/>
    </row>
    <row r="8" spans="1:18" x14ac:dyDescent="0.45">
      <c r="A8" s="177" t="s">
        <v>1058</v>
      </c>
      <c r="B8" s="177" t="s">
        <v>831</v>
      </c>
      <c r="C8" s="177" t="s">
        <v>1995</v>
      </c>
      <c r="D8" s="177" t="s">
        <v>1059</v>
      </c>
      <c r="E8" s="177" t="s">
        <v>1060</v>
      </c>
      <c r="F8" s="177" t="s">
        <v>21</v>
      </c>
      <c r="G8" s="177">
        <v>33982</v>
      </c>
      <c r="H8" s="177">
        <v>34111</v>
      </c>
      <c r="I8" s="177" t="s">
        <v>1061</v>
      </c>
      <c r="J8" s="177">
        <v>2011</v>
      </c>
      <c r="K8" s="177" t="s">
        <v>1062</v>
      </c>
      <c r="L8" s="178" t="s">
        <v>30</v>
      </c>
      <c r="M8" s="177"/>
      <c r="N8" s="177" t="s">
        <v>21</v>
      </c>
      <c r="O8"/>
      <c r="P8"/>
      <c r="Q8"/>
      <c r="R8"/>
    </row>
    <row r="9" spans="1:18" x14ac:dyDescent="0.45">
      <c r="A9" s="177" t="s">
        <v>1063</v>
      </c>
      <c r="B9" s="177" t="s">
        <v>831</v>
      </c>
      <c r="C9" s="177" t="s">
        <v>1995</v>
      </c>
      <c r="D9" s="177" t="s">
        <v>1064</v>
      </c>
      <c r="E9" s="177" t="s">
        <v>1065</v>
      </c>
      <c r="F9" s="177" t="s">
        <v>21</v>
      </c>
      <c r="G9" s="177">
        <v>46675</v>
      </c>
      <c r="H9" s="177"/>
      <c r="I9" s="180">
        <v>43685</v>
      </c>
      <c r="J9" s="177">
        <v>2019</v>
      </c>
      <c r="K9" s="177" t="s">
        <v>29</v>
      </c>
      <c r="L9" s="178" t="s">
        <v>30</v>
      </c>
      <c r="M9" s="177"/>
      <c r="N9" s="177" t="s">
        <v>21</v>
      </c>
      <c r="O9"/>
      <c r="P9"/>
      <c r="Q9"/>
      <c r="R9"/>
    </row>
    <row r="10" spans="1:18" x14ac:dyDescent="0.45">
      <c r="A10" s="177" t="s">
        <v>1066</v>
      </c>
      <c r="B10" s="177" t="s">
        <v>831</v>
      </c>
      <c r="C10" s="177" t="s">
        <v>1995</v>
      </c>
      <c r="D10" s="177" t="s">
        <v>1067</v>
      </c>
      <c r="E10" s="177" t="s">
        <v>1068</v>
      </c>
      <c r="F10" s="177" t="s">
        <v>21</v>
      </c>
      <c r="G10" s="177">
        <v>38450</v>
      </c>
      <c r="H10" s="177">
        <v>38450</v>
      </c>
      <c r="I10" s="177" t="s">
        <v>228</v>
      </c>
      <c r="J10" s="177">
        <v>2015</v>
      </c>
      <c r="K10" s="177" t="s">
        <v>236</v>
      </c>
      <c r="L10" s="178" t="s">
        <v>30</v>
      </c>
      <c r="M10" s="177"/>
      <c r="N10" s="177" t="s">
        <v>21</v>
      </c>
      <c r="O10"/>
      <c r="P10"/>
      <c r="Q10"/>
      <c r="R10"/>
    </row>
    <row r="11" spans="1:18" x14ac:dyDescent="0.45">
      <c r="A11" s="177" t="s">
        <v>1076</v>
      </c>
      <c r="B11" s="177" t="s">
        <v>831</v>
      </c>
      <c r="C11" s="177" t="s">
        <v>1995</v>
      </c>
      <c r="D11" s="177" t="s">
        <v>1077</v>
      </c>
      <c r="E11" s="177" t="s">
        <v>202</v>
      </c>
      <c r="F11" s="177" t="s">
        <v>21</v>
      </c>
      <c r="G11" s="177">
        <v>37276</v>
      </c>
      <c r="H11" s="177">
        <v>37276</v>
      </c>
      <c r="I11" s="180">
        <v>41859</v>
      </c>
      <c r="J11" s="177">
        <v>2014</v>
      </c>
      <c r="K11" s="177" t="s">
        <v>155</v>
      </c>
      <c r="L11" s="178" t="s">
        <v>30</v>
      </c>
      <c r="M11" s="177"/>
      <c r="N11" s="177" t="s">
        <v>21</v>
      </c>
      <c r="O11"/>
      <c r="P11"/>
      <c r="Q11"/>
      <c r="R11"/>
    </row>
    <row r="12" spans="1:18" x14ac:dyDescent="0.45">
      <c r="A12" s="177" t="s">
        <v>1078</v>
      </c>
      <c r="B12" s="177" t="s">
        <v>831</v>
      </c>
      <c r="C12" s="177" t="s">
        <v>1995</v>
      </c>
      <c r="D12" s="177" t="s">
        <v>1079</v>
      </c>
      <c r="E12" s="177" t="s">
        <v>1080</v>
      </c>
      <c r="F12" s="177" t="s">
        <v>21</v>
      </c>
      <c r="G12" s="177">
        <v>35010</v>
      </c>
      <c r="H12" s="177">
        <v>34789</v>
      </c>
      <c r="I12" s="177" t="s">
        <v>65</v>
      </c>
      <c r="J12" s="177">
        <v>2012</v>
      </c>
      <c r="K12" s="177" t="s">
        <v>60</v>
      </c>
      <c r="L12" s="184" t="s">
        <v>61</v>
      </c>
      <c r="M12" s="177"/>
      <c r="N12" s="177" t="s">
        <v>21</v>
      </c>
      <c r="O12"/>
      <c r="P12"/>
      <c r="Q12"/>
      <c r="R12"/>
    </row>
    <row r="13" spans="1:18" x14ac:dyDescent="0.45">
      <c r="A13" s="177" t="s">
        <v>1081</v>
      </c>
      <c r="B13" s="177" t="s">
        <v>831</v>
      </c>
      <c r="C13" s="177" t="s">
        <v>1995</v>
      </c>
      <c r="D13" s="177" t="s">
        <v>1082</v>
      </c>
      <c r="E13" s="177" t="s">
        <v>1083</v>
      </c>
      <c r="F13" s="177" t="s">
        <v>21</v>
      </c>
      <c r="G13" s="177">
        <v>37327</v>
      </c>
      <c r="H13" s="177"/>
      <c r="I13" s="180">
        <v>41738</v>
      </c>
      <c r="J13" s="177">
        <v>2014</v>
      </c>
      <c r="K13" s="177"/>
      <c r="L13" s="181" t="s">
        <v>23</v>
      </c>
      <c r="M13" s="177"/>
      <c r="N13" s="177"/>
      <c r="O13"/>
      <c r="P13"/>
      <c r="Q13"/>
      <c r="R13"/>
    </row>
    <row r="14" spans="1:18" x14ac:dyDescent="0.45">
      <c r="A14" s="177" t="s">
        <v>1084</v>
      </c>
      <c r="B14" s="177" t="s">
        <v>831</v>
      </c>
      <c r="C14" s="177" t="s">
        <v>1995</v>
      </c>
      <c r="D14" s="177" t="s">
        <v>1085</v>
      </c>
      <c r="E14" s="177" t="s">
        <v>1086</v>
      </c>
      <c r="F14" s="177" t="s">
        <v>21</v>
      </c>
      <c r="G14" s="177">
        <v>36632</v>
      </c>
      <c r="H14" s="177">
        <v>36632</v>
      </c>
      <c r="I14" s="177" t="s">
        <v>1087</v>
      </c>
      <c r="J14" s="177">
        <v>2013</v>
      </c>
      <c r="K14" s="177" t="s">
        <v>203</v>
      </c>
      <c r="L14" s="178" t="s">
        <v>30</v>
      </c>
      <c r="M14" s="177"/>
      <c r="N14" s="177" t="s">
        <v>21</v>
      </c>
      <c r="O14"/>
      <c r="P14"/>
      <c r="Q14"/>
      <c r="R14"/>
    </row>
    <row r="15" spans="1:18" x14ac:dyDescent="0.45">
      <c r="A15" s="177" t="s">
        <v>1088</v>
      </c>
      <c r="B15" s="177" t="s">
        <v>831</v>
      </c>
      <c r="C15" s="177" t="s">
        <v>1995</v>
      </c>
      <c r="D15" s="177" t="s">
        <v>1089</v>
      </c>
      <c r="E15" s="177" t="s">
        <v>1090</v>
      </c>
      <c r="F15" s="177" t="s">
        <v>21</v>
      </c>
      <c r="G15" s="177">
        <v>35214</v>
      </c>
      <c r="H15" s="177">
        <v>35571</v>
      </c>
      <c r="I15" s="177" t="s">
        <v>1091</v>
      </c>
      <c r="J15" s="177">
        <v>2012</v>
      </c>
      <c r="K15" s="177" t="s">
        <v>66</v>
      </c>
      <c r="L15" s="178" t="s">
        <v>30</v>
      </c>
      <c r="M15" s="177"/>
      <c r="N15" s="177" t="s">
        <v>21</v>
      </c>
      <c r="O15"/>
      <c r="P15"/>
      <c r="Q15"/>
      <c r="R15"/>
    </row>
    <row r="16" spans="1:18" x14ac:dyDescent="0.45">
      <c r="A16" s="177" t="s">
        <v>1092</v>
      </c>
      <c r="B16" s="177" t="s">
        <v>831</v>
      </c>
      <c r="C16" s="177" t="s">
        <v>1995</v>
      </c>
      <c r="D16" s="177" t="s">
        <v>1093</v>
      </c>
      <c r="E16" s="177" t="s">
        <v>1094</v>
      </c>
      <c r="F16" s="177" t="s">
        <v>21</v>
      </c>
      <c r="G16" s="177">
        <v>36868</v>
      </c>
      <c r="H16" s="177">
        <v>36868</v>
      </c>
      <c r="I16" s="177" t="s">
        <v>1095</v>
      </c>
      <c r="J16" s="177">
        <v>2014</v>
      </c>
      <c r="K16" s="177" t="s">
        <v>269</v>
      </c>
      <c r="L16" s="178" t="s">
        <v>30</v>
      </c>
      <c r="M16" s="177"/>
      <c r="N16" s="177" t="s">
        <v>21</v>
      </c>
      <c r="O16"/>
      <c r="P16"/>
      <c r="Q16"/>
      <c r="R16"/>
    </row>
    <row r="17" spans="1:18" x14ac:dyDescent="0.45">
      <c r="A17" s="177" t="s">
        <v>1096</v>
      </c>
      <c r="B17" s="177" t="s">
        <v>831</v>
      </c>
      <c r="C17" s="177" t="s">
        <v>1995</v>
      </c>
      <c r="D17" s="177" t="s">
        <v>1097</v>
      </c>
      <c r="E17" s="177" t="s">
        <v>1098</v>
      </c>
      <c r="F17" s="177" t="s">
        <v>21</v>
      </c>
      <c r="G17" s="177">
        <v>36249</v>
      </c>
      <c r="H17" s="177">
        <v>36249</v>
      </c>
      <c r="I17" s="177" t="s">
        <v>195</v>
      </c>
      <c r="J17" s="177">
        <v>2013</v>
      </c>
      <c r="K17" s="177" t="s">
        <v>1099</v>
      </c>
      <c r="L17" s="178" t="s">
        <v>30</v>
      </c>
      <c r="M17" s="177"/>
      <c r="N17" s="177" t="s">
        <v>21</v>
      </c>
      <c r="O17"/>
      <c r="P17"/>
      <c r="Q17"/>
      <c r="R17"/>
    </row>
    <row r="18" spans="1:18" x14ac:dyDescent="0.45">
      <c r="A18" s="177" t="s">
        <v>1100</v>
      </c>
      <c r="B18" s="177" t="s">
        <v>831</v>
      </c>
      <c r="C18" s="177" t="s">
        <v>1995</v>
      </c>
      <c r="D18" s="177" t="s">
        <v>1101</v>
      </c>
      <c r="E18" s="177" t="s">
        <v>1102</v>
      </c>
      <c r="F18" s="177" t="s">
        <v>21</v>
      </c>
      <c r="G18" s="177">
        <v>42174</v>
      </c>
      <c r="H18" s="177">
        <v>42174</v>
      </c>
      <c r="I18" s="177" t="s">
        <v>1103</v>
      </c>
      <c r="J18" s="177">
        <v>2018</v>
      </c>
      <c r="K18" s="177" t="s">
        <v>589</v>
      </c>
      <c r="L18" s="178" t="s">
        <v>30</v>
      </c>
      <c r="M18" s="177"/>
      <c r="N18" s="177" t="s">
        <v>21</v>
      </c>
      <c r="O18"/>
      <c r="P18"/>
      <c r="Q18"/>
      <c r="R18"/>
    </row>
    <row r="19" spans="1:18" x14ac:dyDescent="0.45">
      <c r="A19" s="177" t="s">
        <v>1104</v>
      </c>
      <c r="B19" s="177" t="s">
        <v>831</v>
      </c>
      <c r="C19" s="177" t="s">
        <v>1995</v>
      </c>
      <c r="D19" s="177" t="s">
        <v>1105</v>
      </c>
      <c r="E19" s="177" t="s">
        <v>1106</v>
      </c>
      <c r="F19" s="177" t="s">
        <v>21</v>
      </c>
      <c r="G19" s="177">
        <v>35212</v>
      </c>
      <c r="H19" s="177">
        <v>35465</v>
      </c>
      <c r="I19" s="177" t="s">
        <v>1091</v>
      </c>
      <c r="J19" s="177">
        <v>2012</v>
      </c>
      <c r="K19" s="177" t="s">
        <v>66</v>
      </c>
      <c r="L19" s="178" t="s">
        <v>30</v>
      </c>
      <c r="M19" s="177"/>
      <c r="N19" s="177" t="s">
        <v>21</v>
      </c>
      <c r="O19"/>
      <c r="P19"/>
      <c r="Q19"/>
      <c r="R19"/>
    </row>
    <row r="20" spans="1:18" x14ac:dyDescent="0.45">
      <c r="A20" s="177" t="s">
        <v>1107</v>
      </c>
      <c r="B20" s="177" t="s">
        <v>831</v>
      </c>
      <c r="C20" s="177" t="s">
        <v>1995</v>
      </c>
      <c r="D20" s="177" t="s">
        <v>1108</v>
      </c>
      <c r="E20" s="177" t="s">
        <v>1109</v>
      </c>
      <c r="F20" s="177" t="s">
        <v>21</v>
      </c>
      <c r="G20" s="177">
        <v>51966</v>
      </c>
      <c r="H20" s="177"/>
      <c r="I20" s="177"/>
      <c r="J20" s="177"/>
      <c r="K20" s="177" t="s">
        <v>150</v>
      </c>
      <c r="L20" s="178" t="s">
        <v>30</v>
      </c>
      <c r="M20" s="177"/>
      <c r="N20" s="177" t="s">
        <v>21</v>
      </c>
      <c r="O20"/>
      <c r="P20"/>
      <c r="Q20"/>
      <c r="R20"/>
    </row>
    <row r="21" spans="1:18" x14ac:dyDescent="0.45">
      <c r="A21" s="177" t="s">
        <v>1242</v>
      </c>
      <c r="B21" s="177" t="s">
        <v>831</v>
      </c>
      <c r="C21" s="177" t="s">
        <v>1995</v>
      </c>
      <c r="D21" s="177" t="s">
        <v>1243</v>
      </c>
      <c r="E21" s="177" t="s">
        <v>1244</v>
      </c>
      <c r="F21" s="177" t="s">
        <v>21</v>
      </c>
      <c r="G21" s="177">
        <v>34307</v>
      </c>
      <c r="H21" s="177">
        <v>34411</v>
      </c>
      <c r="I21" s="177" t="s">
        <v>163</v>
      </c>
      <c r="J21" s="177">
        <v>2011</v>
      </c>
      <c r="K21" s="177" t="s">
        <v>164</v>
      </c>
      <c r="L21" s="178" t="s">
        <v>30</v>
      </c>
      <c r="M21" s="177"/>
      <c r="N21" s="177" t="s">
        <v>21</v>
      </c>
      <c r="O21"/>
      <c r="P21"/>
      <c r="Q21"/>
      <c r="R21"/>
    </row>
    <row r="22" spans="1:18" x14ac:dyDescent="0.45">
      <c r="A22" s="183" t="s">
        <v>2302</v>
      </c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/>
      <c r="P22"/>
      <c r="Q22"/>
      <c r="R22"/>
    </row>
    <row r="23" spans="1:18" x14ac:dyDescent="0.45">
      <c r="A23" s="177" t="s">
        <v>1130</v>
      </c>
      <c r="B23" s="177" t="s">
        <v>831</v>
      </c>
      <c r="C23" s="177" t="s">
        <v>2022</v>
      </c>
      <c r="D23" s="177" t="s">
        <v>1131</v>
      </c>
      <c r="E23" s="177" t="s">
        <v>1132</v>
      </c>
      <c r="F23" s="177" t="s">
        <v>21</v>
      </c>
      <c r="G23" s="177">
        <v>35012</v>
      </c>
      <c r="H23" s="177">
        <v>34791</v>
      </c>
      <c r="I23" s="177" t="s">
        <v>65</v>
      </c>
      <c r="J23" s="177">
        <v>2012</v>
      </c>
      <c r="K23" s="177" t="s">
        <v>66</v>
      </c>
      <c r="L23" s="178" t="s">
        <v>30</v>
      </c>
      <c r="M23" s="177"/>
      <c r="N23" s="177" t="s">
        <v>21</v>
      </c>
      <c r="O23"/>
      <c r="P23"/>
      <c r="Q23"/>
      <c r="R23"/>
    </row>
    <row r="24" spans="1:18" x14ac:dyDescent="0.45">
      <c r="A24" s="177" t="s">
        <v>1115</v>
      </c>
      <c r="B24" s="177" t="s">
        <v>831</v>
      </c>
      <c r="C24" s="177" t="s">
        <v>2022</v>
      </c>
      <c r="D24" s="177" t="s">
        <v>1116</v>
      </c>
      <c r="E24" s="177"/>
      <c r="F24" s="177" t="s">
        <v>1912</v>
      </c>
      <c r="G24" s="177" t="s">
        <v>1117</v>
      </c>
      <c r="H24" s="177" t="s">
        <v>1118</v>
      </c>
      <c r="I24" s="177"/>
      <c r="J24" s="177"/>
      <c r="K24" s="177" t="s">
        <v>388</v>
      </c>
      <c r="L24" s="184" t="s">
        <v>61</v>
      </c>
      <c r="M24" s="177" t="s">
        <v>320</v>
      </c>
      <c r="N24" s="177" t="s">
        <v>1119</v>
      </c>
      <c r="O24"/>
      <c r="P24"/>
      <c r="Q24"/>
      <c r="R24"/>
    </row>
    <row r="25" spans="1:18" x14ac:dyDescent="0.45">
      <c r="A25" s="177" t="s">
        <v>836</v>
      </c>
      <c r="B25" s="177" t="s">
        <v>831</v>
      </c>
      <c r="C25" s="177" t="s">
        <v>2022</v>
      </c>
      <c r="D25" s="177" t="s">
        <v>837</v>
      </c>
      <c r="E25" s="177"/>
      <c r="F25" s="177" t="s">
        <v>1912</v>
      </c>
      <c r="G25" s="177" t="s">
        <v>838</v>
      </c>
      <c r="H25" s="177" t="s">
        <v>839</v>
      </c>
      <c r="I25" s="177"/>
      <c r="J25" s="177"/>
      <c r="K25" s="177" t="s">
        <v>388</v>
      </c>
      <c r="L25" s="184" t="s">
        <v>61</v>
      </c>
      <c r="M25" s="177" t="s">
        <v>547</v>
      </c>
      <c r="N25" s="177" t="s">
        <v>840</v>
      </c>
      <c r="O25"/>
      <c r="P25"/>
      <c r="Q25"/>
      <c r="R25"/>
    </row>
    <row r="26" spans="1:18" x14ac:dyDescent="0.45">
      <c r="A26" s="177" t="s">
        <v>1148</v>
      </c>
      <c r="B26" s="177" t="s">
        <v>831</v>
      </c>
      <c r="C26" s="177" t="s">
        <v>2022</v>
      </c>
      <c r="D26" s="177" t="s">
        <v>1149</v>
      </c>
      <c r="E26" s="177"/>
      <c r="F26" s="177" t="s">
        <v>1912</v>
      </c>
      <c r="G26" s="177" t="s">
        <v>1150</v>
      </c>
      <c r="H26" s="177" t="s">
        <v>1151</v>
      </c>
      <c r="I26" s="177"/>
      <c r="J26" s="177"/>
      <c r="K26" s="177" t="s">
        <v>1152</v>
      </c>
      <c r="L26" s="182" t="s">
        <v>107</v>
      </c>
      <c r="M26" s="177" t="s">
        <v>1153</v>
      </c>
      <c r="N26" s="177" t="s">
        <v>505</v>
      </c>
      <c r="O26"/>
      <c r="P26"/>
      <c r="Q26"/>
      <c r="R26"/>
    </row>
    <row r="27" spans="1:18" x14ac:dyDescent="0.45">
      <c r="A27" s="177" t="s">
        <v>1154</v>
      </c>
      <c r="B27" s="177" t="s">
        <v>831</v>
      </c>
      <c r="C27" s="177" t="s">
        <v>2022</v>
      </c>
      <c r="D27" s="177" t="s">
        <v>1155</v>
      </c>
      <c r="E27" s="177"/>
      <c r="F27" s="177" t="s">
        <v>1912</v>
      </c>
      <c r="G27" s="177" t="s">
        <v>1156</v>
      </c>
      <c r="H27" s="177" t="s">
        <v>1157</v>
      </c>
      <c r="I27" s="177"/>
      <c r="J27" s="177"/>
      <c r="K27" s="177" t="s">
        <v>302</v>
      </c>
      <c r="L27" s="185" t="s">
        <v>280</v>
      </c>
      <c r="M27" s="177" t="s">
        <v>848</v>
      </c>
      <c r="N27" s="177" t="s">
        <v>290</v>
      </c>
      <c r="O27"/>
      <c r="P27"/>
      <c r="Q27"/>
      <c r="R27"/>
    </row>
    <row r="28" spans="1:18" x14ac:dyDescent="0.45">
      <c r="A28" s="177" t="s">
        <v>1003</v>
      </c>
      <c r="B28" s="177" t="s">
        <v>831</v>
      </c>
      <c r="C28" s="177" t="s">
        <v>2022</v>
      </c>
      <c r="D28" s="177" t="s">
        <v>1004</v>
      </c>
      <c r="E28" s="177"/>
      <c r="F28" s="177" t="s">
        <v>1912</v>
      </c>
      <c r="G28" s="177" t="s">
        <v>1005</v>
      </c>
      <c r="H28" s="177" t="s">
        <v>1006</v>
      </c>
      <c r="I28" s="177"/>
      <c r="J28" s="177"/>
      <c r="K28" s="177" t="s">
        <v>832</v>
      </c>
      <c r="L28" s="181" t="s">
        <v>833</v>
      </c>
      <c r="M28" s="177" t="s">
        <v>853</v>
      </c>
      <c r="N28" s="177" t="s">
        <v>290</v>
      </c>
      <c r="O28"/>
      <c r="P28"/>
      <c r="Q28"/>
      <c r="R28"/>
    </row>
    <row r="29" spans="1:18" x14ac:dyDescent="0.45">
      <c r="A29" s="177" t="s">
        <v>1007</v>
      </c>
      <c r="B29" s="177" t="s">
        <v>831</v>
      </c>
      <c r="C29" s="177" t="s">
        <v>2022</v>
      </c>
      <c r="D29" s="177" t="s">
        <v>1008</v>
      </c>
      <c r="E29" s="177"/>
      <c r="F29" s="177" t="s">
        <v>1912</v>
      </c>
      <c r="G29" s="177" t="s">
        <v>1009</v>
      </c>
      <c r="H29" s="177" t="s">
        <v>1010</v>
      </c>
      <c r="I29" s="177"/>
      <c r="J29" s="177"/>
      <c r="K29" s="177" t="s">
        <v>302</v>
      </c>
      <c r="L29" s="185" t="s">
        <v>280</v>
      </c>
      <c r="M29" s="177" t="s">
        <v>416</v>
      </c>
      <c r="N29" s="177" t="s">
        <v>290</v>
      </c>
      <c r="O29"/>
      <c r="P29"/>
      <c r="Q29"/>
      <c r="R29"/>
    </row>
    <row r="30" spans="1:18" x14ac:dyDescent="0.45">
      <c r="A30" s="177" t="s">
        <v>1177</v>
      </c>
      <c r="B30" s="177" t="s">
        <v>831</v>
      </c>
      <c r="C30" s="177" t="s">
        <v>2022</v>
      </c>
      <c r="D30" s="177" t="s">
        <v>1178</v>
      </c>
      <c r="E30" s="177" t="s">
        <v>1179</v>
      </c>
      <c r="F30" s="177" t="s">
        <v>21</v>
      </c>
      <c r="G30" s="177">
        <v>39442</v>
      </c>
      <c r="H30" s="177">
        <v>39442</v>
      </c>
      <c r="I30" s="180">
        <v>42624</v>
      </c>
      <c r="J30" s="177">
        <v>2016</v>
      </c>
      <c r="K30" s="177" t="s">
        <v>232</v>
      </c>
      <c r="L30" s="178" t="s">
        <v>30</v>
      </c>
      <c r="M30" s="177"/>
      <c r="N30" s="177" t="s">
        <v>21</v>
      </c>
      <c r="O30"/>
      <c r="P30"/>
      <c r="Q30"/>
      <c r="R30"/>
    </row>
    <row r="31" spans="1:18" x14ac:dyDescent="0.45">
      <c r="A31" s="177" t="s">
        <v>1017</v>
      </c>
      <c r="B31" s="177" t="s">
        <v>831</v>
      </c>
      <c r="C31" s="177" t="s">
        <v>2022</v>
      </c>
      <c r="D31" s="177" t="s">
        <v>1018</v>
      </c>
      <c r="E31" s="177"/>
      <c r="F31" s="177" t="s">
        <v>1019</v>
      </c>
      <c r="G31" s="177" t="s">
        <v>1020</v>
      </c>
      <c r="H31" s="177"/>
      <c r="I31" s="180">
        <v>45445</v>
      </c>
      <c r="J31" s="177">
        <v>2024</v>
      </c>
      <c r="K31" s="177" t="s">
        <v>78</v>
      </c>
      <c r="L31" s="179" t="s">
        <v>79</v>
      </c>
      <c r="M31" s="177"/>
      <c r="N31" s="177" t="s">
        <v>1019</v>
      </c>
      <c r="O31"/>
      <c r="P31"/>
      <c r="Q31"/>
      <c r="R31"/>
    </row>
    <row r="32" spans="1:18" x14ac:dyDescent="0.45">
      <c r="A32" s="177" t="s">
        <v>1189</v>
      </c>
      <c r="B32" s="177" t="s">
        <v>831</v>
      </c>
      <c r="C32" s="177" t="s">
        <v>2022</v>
      </c>
      <c r="D32" s="177" t="s">
        <v>1190</v>
      </c>
      <c r="E32" s="177"/>
      <c r="F32" s="177" t="s">
        <v>1019</v>
      </c>
      <c r="G32" s="177" t="s">
        <v>1191</v>
      </c>
      <c r="H32" s="177"/>
      <c r="I32" s="177" t="s">
        <v>1192</v>
      </c>
      <c r="J32" s="177">
        <v>2024</v>
      </c>
      <c r="K32" s="177" t="s">
        <v>106</v>
      </c>
      <c r="L32" s="182" t="s">
        <v>107</v>
      </c>
      <c r="M32" s="177"/>
      <c r="N32" s="177" t="s">
        <v>1019</v>
      </c>
      <c r="O32"/>
      <c r="P32"/>
      <c r="Q32"/>
      <c r="R32"/>
    </row>
    <row r="33" spans="1:18" x14ac:dyDescent="0.45">
      <c r="A33" s="177" t="s">
        <v>1021</v>
      </c>
      <c r="B33" s="177" t="s">
        <v>831</v>
      </c>
      <c r="C33" s="177" t="s">
        <v>2022</v>
      </c>
      <c r="D33" s="177" t="s">
        <v>1022</v>
      </c>
      <c r="E33" s="177"/>
      <c r="F33" s="177" t="s">
        <v>93</v>
      </c>
      <c r="G33" s="177" t="s">
        <v>1023</v>
      </c>
      <c r="H33" s="177"/>
      <c r="I33" s="177"/>
      <c r="J33" s="177"/>
      <c r="K33" s="177" t="s">
        <v>596</v>
      </c>
      <c r="L33" s="186" t="s">
        <v>597</v>
      </c>
      <c r="M33" s="177" t="s">
        <v>397</v>
      </c>
      <c r="N33" s="177"/>
      <c r="O33"/>
      <c r="P33"/>
      <c r="Q33"/>
      <c r="R33"/>
    </row>
    <row r="34" spans="1:18" x14ac:dyDescent="0.45">
      <c r="A34" s="177" t="s">
        <v>1193</v>
      </c>
      <c r="B34" s="177" t="s">
        <v>831</v>
      </c>
      <c r="C34" s="177" t="s">
        <v>2022</v>
      </c>
      <c r="D34" s="177" t="s">
        <v>1194</v>
      </c>
      <c r="E34" s="177"/>
      <c r="F34" s="177" t="s">
        <v>874</v>
      </c>
      <c r="G34" s="177" t="s">
        <v>1195</v>
      </c>
      <c r="H34" s="177"/>
      <c r="I34" s="180">
        <v>43263</v>
      </c>
      <c r="J34" s="177">
        <v>2018</v>
      </c>
      <c r="K34" s="177" t="s">
        <v>37</v>
      </c>
      <c r="L34" s="178" t="s">
        <v>30</v>
      </c>
      <c r="M34" s="177"/>
      <c r="N34" s="177" t="s">
        <v>874</v>
      </c>
      <c r="O34"/>
      <c r="P34"/>
      <c r="Q34"/>
      <c r="R34"/>
    </row>
    <row r="35" spans="1:18" x14ac:dyDescent="0.45">
      <c r="A35" s="177" t="s">
        <v>1204</v>
      </c>
      <c r="B35" s="177" t="s">
        <v>831</v>
      </c>
      <c r="C35" s="177" t="s">
        <v>2022</v>
      </c>
      <c r="D35" s="177" t="s">
        <v>1205</v>
      </c>
      <c r="E35" s="177"/>
      <c r="F35" s="177" t="s">
        <v>1912</v>
      </c>
      <c r="G35" s="177" t="s">
        <v>1206</v>
      </c>
      <c r="H35" s="177" t="s">
        <v>1207</v>
      </c>
      <c r="I35" s="177"/>
      <c r="J35" s="177"/>
      <c r="K35" s="177" t="s">
        <v>388</v>
      </c>
      <c r="L35" s="184" t="s">
        <v>61</v>
      </c>
      <c r="M35" s="177" t="s">
        <v>1202</v>
      </c>
      <c r="N35" s="177" t="s">
        <v>1208</v>
      </c>
      <c r="O35"/>
      <c r="P35"/>
      <c r="Q35"/>
      <c r="R35"/>
    </row>
    <row r="36" spans="1:18" x14ac:dyDescent="0.45">
      <c r="A36" s="177" t="s">
        <v>1209</v>
      </c>
      <c r="B36" s="177" t="s">
        <v>831</v>
      </c>
      <c r="C36" s="177" t="s">
        <v>2022</v>
      </c>
      <c r="D36" s="177" t="s">
        <v>1210</v>
      </c>
      <c r="E36" s="177"/>
      <c r="F36" s="177" t="s">
        <v>1912</v>
      </c>
      <c r="G36" s="177" t="s">
        <v>1211</v>
      </c>
      <c r="H36" s="177" t="s">
        <v>1212</v>
      </c>
      <c r="I36" s="177"/>
      <c r="J36" s="177"/>
      <c r="K36" s="177" t="s">
        <v>388</v>
      </c>
      <c r="L36" s="184" t="s">
        <v>61</v>
      </c>
      <c r="M36" s="177" t="s">
        <v>528</v>
      </c>
      <c r="N36" s="177" t="s">
        <v>1213</v>
      </c>
      <c r="O36"/>
      <c r="P36"/>
      <c r="Q36"/>
      <c r="R36"/>
    </row>
    <row r="37" spans="1:18" x14ac:dyDescent="0.45">
      <c r="A37" s="177" t="s">
        <v>1223</v>
      </c>
      <c r="B37" s="177" t="s">
        <v>831</v>
      </c>
      <c r="C37" s="177" t="s">
        <v>2022</v>
      </c>
      <c r="D37" s="177" t="s">
        <v>1224</v>
      </c>
      <c r="E37" s="177"/>
      <c r="F37" s="177" t="s">
        <v>874</v>
      </c>
      <c r="G37" s="177" t="s">
        <v>1225</v>
      </c>
      <c r="H37" s="177"/>
      <c r="I37" s="177" t="s">
        <v>424</v>
      </c>
      <c r="J37" s="177">
        <v>2019</v>
      </c>
      <c r="K37" s="177" t="s">
        <v>78</v>
      </c>
      <c r="L37" s="179" t="s">
        <v>79</v>
      </c>
      <c r="M37" s="177"/>
      <c r="N37" s="177" t="s">
        <v>874</v>
      </c>
      <c r="O37"/>
      <c r="P37"/>
      <c r="Q37"/>
      <c r="R37"/>
    </row>
    <row r="38" spans="1:18" x14ac:dyDescent="0.45">
      <c r="A38" s="177" t="s">
        <v>1263</v>
      </c>
      <c r="B38" s="177" t="s">
        <v>831</v>
      </c>
      <c r="C38" s="177" t="s">
        <v>2022</v>
      </c>
      <c r="D38" s="177" t="s">
        <v>1264</v>
      </c>
      <c r="E38" s="177"/>
      <c r="F38" s="177" t="s">
        <v>1912</v>
      </c>
      <c r="G38" s="177" t="s">
        <v>1265</v>
      </c>
      <c r="H38" s="177" t="s">
        <v>1266</v>
      </c>
      <c r="I38" s="177"/>
      <c r="J38" s="177"/>
      <c r="K38" s="177" t="s">
        <v>388</v>
      </c>
      <c r="L38" s="184" t="s">
        <v>61</v>
      </c>
      <c r="M38" s="177" t="s">
        <v>1267</v>
      </c>
      <c r="N38" s="177" t="s">
        <v>840</v>
      </c>
      <c r="O38"/>
      <c r="P38"/>
      <c r="Q38"/>
      <c r="R38"/>
    </row>
    <row r="39" spans="1:18" x14ac:dyDescent="0.45">
      <c r="A39" s="177" t="s">
        <v>1268</v>
      </c>
      <c r="B39" s="177" t="s">
        <v>831</v>
      </c>
      <c r="C39" s="177" t="s">
        <v>2022</v>
      </c>
      <c r="D39" s="177" t="s">
        <v>1269</v>
      </c>
      <c r="E39" s="177"/>
      <c r="F39" s="177" t="s">
        <v>1912</v>
      </c>
      <c r="G39" s="177" t="s">
        <v>1270</v>
      </c>
      <c r="H39" s="177" t="s">
        <v>1271</v>
      </c>
      <c r="I39" s="177"/>
      <c r="J39" s="177"/>
      <c r="K39" s="177" t="s">
        <v>388</v>
      </c>
      <c r="L39" s="184" t="s">
        <v>61</v>
      </c>
      <c r="M39" s="177" t="s">
        <v>1272</v>
      </c>
      <c r="N39" s="177" t="s">
        <v>1273</v>
      </c>
      <c r="O39"/>
      <c r="P39"/>
      <c r="Q39"/>
      <c r="R39"/>
    </row>
    <row r="40" spans="1:18" x14ac:dyDescent="0.45">
      <c r="A40" s="183" t="s">
        <v>2303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/>
      <c r="P40"/>
      <c r="Q40"/>
      <c r="R40"/>
    </row>
    <row r="41" spans="1:18" x14ac:dyDescent="0.45">
      <c r="A41" s="177" t="s">
        <v>1136</v>
      </c>
      <c r="B41" s="177" t="s">
        <v>831</v>
      </c>
      <c r="C41" s="177" t="s">
        <v>2031</v>
      </c>
      <c r="D41" s="177" t="s">
        <v>1137</v>
      </c>
      <c r="E41" s="177"/>
      <c r="F41" s="177" t="s">
        <v>413</v>
      </c>
      <c r="G41" s="177">
        <v>73614</v>
      </c>
      <c r="H41" s="177"/>
      <c r="I41" s="180">
        <v>45881</v>
      </c>
      <c r="J41" s="177">
        <v>2025</v>
      </c>
      <c r="K41" s="177" t="s">
        <v>78</v>
      </c>
      <c r="L41" s="179" t="s">
        <v>79</v>
      </c>
      <c r="M41" s="177"/>
      <c r="N41" s="177" t="s">
        <v>413</v>
      </c>
      <c r="O41"/>
      <c r="P41"/>
      <c r="Q41"/>
      <c r="R41"/>
    </row>
    <row r="42" spans="1:18" x14ac:dyDescent="0.45">
      <c r="A42" s="177" t="s">
        <v>844</v>
      </c>
      <c r="B42" s="177" t="s">
        <v>831</v>
      </c>
      <c r="C42" s="177" t="s">
        <v>2031</v>
      </c>
      <c r="D42" s="177" t="s">
        <v>845</v>
      </c>
      <c r="E42" s="177"/>
      <c r="F42" s="177" t="s">
        <v>1912</v>
      </c>
      <c r="G42" s="177" t="s">
        <v>846</v>
      </c>
      <c r="H42" s="177" t="s">
        <v>847</v>
      </c>
      <c r="I42" s="177"/>
      <c r="J42" s="177"/>
      <c r="K42" s="177" t="s">
        <v>388</v>
      </c>
      <c r="L42" s="184" t="s">
        <v>61</v>
      </c>
      <c r="M42" s="177" t="s">
        <v>848</v>
      </c>
      <c r="N42" s="177" t="s">
        <v>840</v>
      </c>
      <c r="O42"/>
      <c r="P42"/>
      <c r="Q42"/>
      <c r="R42"/>
    </row>
    <row r="43" spans="1:18" x14ac:dyDescent="0.45">
      <c r="A43" s="177" t="s">
        <v>849</v>
      </c>
      <c r="B43" s="177" t="s">
        <v>831</v>
      </c>
      <c r="C43" s="177" t="s">
        <v>2031</v>
      </c>
      <c r="D43" s="177" t="s">
        <v>850</v>
      </c>
      <c r="E43" s="177"/>
      <c r="F43" s="177" t="s">
        <v>1912</v>
      </c>
      <c r="G43" s="177" t="s">
        <v>851</v>
      </c>
      <c r="H43" s="177" t="s">
        <v>852</v>
      </c>
      <c r="I43" s="177"/>
      <c r="J43" s="177"/>
      <c r="K43" s="177" t="s">
        <v>388</v>
      </c>
      <c r="L43" s="184" t="s">
        <v>61</v>
      </c>
      <c r="M43" s="177" t="s">
        <v>853</v>
      </c>
      <c r="N43" s="177" t="s">
        <v>840</v>
      </c>
      <c r="O43"/>
      <c r="P43"/>
      <c r="Q43"/>
      <c r="R43"/>
    </row>
    <row r="44" spans="1:18" x14ac:dyDescent="0.45">
      <c r="A44" s="177" t="s">
        <v>854</v>
      </c>
      <c r="B44" s="177" t="s">
        <v>831</v>
      </c>
      <c r="C44" s="177" t="s">
        <v>2031</v>
      </c>
      <c r="D44" s="177" t="s">
        <v>855</v>
      </c>
      <c r="E44" s="177"/>
      <c r="F44" s="177" t="s">
        <v>1912</v>
      </c>
      <c r="G44" s="177" t="s">
        <v>856</v>
      </c>
      <c r="H44" s="177" t="s">
        <v>857</v>
      </c>
      <c r="I44" s="177"/>
      <c r="J44" s="177"/>
      <c r="K44" s="177" t="s">
        <v>388</v>
      </c>
      <c r="L44" s="184" t="s">
        <v>61</v>
      </c>
      <c r="M44" s="177" t="s">
        <v>858</v>
      </c>
      <c r="N44" s="177" t="s">
        <v>840</v>
      </c>
      <c r="O44"/>
      <c r="P44"/>
      <c r="Q44"/>
      <c r="R44"/>
    </row>
    <row r="45" spans="1:18" x14ac:dyDescent="0.45">
      <c r="A45" s="177" t="s">
        <v>1219</v>
      </c>
      <c r="B45" s="177" t="s">
        <v>831</v>
      </c>
      <c r="C45" s="177" t="s">
        <v>2031</v>
      </c>
      <c r="D45" s="177" t="s">
        <v>1220</v>
      </c>
      <c r="E45" s="177"/>
      <c r="F45" s="177" t="s">
        <v>1912</v>
      </c>
      <c r="G45" s="177" t="s">
        <v>1221</v>
      </c>
      <c r="H45" s="177" t="s">
        <v>1222</v>
      </c>
      <c r="I45" s="177"/>
      <c r="J45" s="177"/>
      <c r="K45" s="177" t="s">
        <v>388</v>
      </c>
      <c r="L45" s="184" t="s">
        <v>61</v>
      </c>
      <c r="M45" s="177" t="s">
        <v>528</v>
      </c>
      <c r="N45" s="177" t="s">
        <v>840</v>
      </c>
      <c r="O45"/>
      <c r="P45"/>
      <c r="Q45"/>
      <c r="R45"/>
    </row>
    <row r="46" spans="1:18" x14ac:dyDescent="0.45">
      <c r="A46" s="183" t="s">
        <v>2304</v>
      </c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/>
      <c r="P46"/>
      <c r="Q46"/>
      <c r="R46"/>
    </row>
    <row r="47" spans="1:18" x14ac:dyDescent="0.45">
      <c r="A47" s="177" t="s">
        <v>1138</v>
      </c>
      <c r="B47" s="177" t="s">
        <v>831</v>
      </c>
      <c r="C47" s="177" t="s">
        <v>2034</v>
      </c>
      <c r="D47" s="177" t="s">
        <v>1139</v>
      </c>
      <c r="E47" s="177" t="s">
        <v>1140</v>
      </c>
      <c r="F47" s="177" t="s">
        <v>21</v>
      </c>
      <c r="G47" s="177">
        <v>38375</v>
      </c>
      <c r="H47" s="177"/>
      <c r="I47" s="180">
        <v>42072</v>
      </c>
      <c r="J47" s="177">
        <v>2015</v>
      </c>
      <c r="K47" s="177"/>
      <c r="L47" s="181" t="s">
        <v>23</v>
      </c>
      <c r="M47" s="177"/>
      <c r="N47" s="177" t="s">
        <v>21</v>
      </c>
      <c r="O47"/>
      <c r="P47"/>
      <c r="Q47"/>
      <c r="R47"/>
    </row>
    <row r="48" spans="1:18" x14ac:dyDescent="0.45">
      <c r="A48" s="177" t="s">
        <v>1069</v>
      </c>
      <c r="B48" s="177" t="s">
        <v>831</v>
      </c>
      <c r="C48" s="177" t="s">
        <v>2034</v>
      </c>
      <c r="D48" s="177" t="s">
        <v>1070</v>
      </c>
      <c r="E48" s="177" t="s">
        <v>1071</v>
      </c>
      <c r="F48" s="177" t="s">
        <v>21</v>
      </c>
      <c r="G48" s="177">
        <v>38572</v>
      </c>
      <c r="H48" s="177"/>
      <c r="I48" s="180">
        <v>42105</v>
      </c>
      <c r="J48" s="177">
        <v>2015</v>
      </c>
      <c r="K48" s="177"/>
      <c r="L48" s="181" t="s">
        <v>23</v>
      </c>
      <c r="M48" s="177"/>
      <c r="N48" s="177" t="s">
        <v>21</v>
      </c>
      <c r="O48"/>
      <c r="P48"/>
      <c r="Q48"/>
      <c r="R48"/>
    </row>
    <row r="49" spans="1:18" x14ac:dyDescent="0.45">
      <c r="A49" s="177" t="s">
        <v>1072</v>
      </c>
      <c r="B49" s="177" t="s">
        <v>831</v>
      </c>
      <c r="C49" s="177" t="s">
        <v>2034</v>
      </c>
      <c r="D49" s="177" t="s">
        <v>1073</v>
      </c>
      <c r="E49" s="177" t="s">
        <v>1074</v>
      </c>
      <c r="F49" s="177" t="s">
        <v>21</v>
      </c>
      <c r="G49" s="177">
        <v>39345</v>
      </c>
      <c r="H49" s="177"/>
      <c r="I49" s="177" t="s">
        <v>1075</v>
      </c>
      <c r="J49" s="177">
        <v>2016</v>
      </c>
      <c r="K49" s="177"/>
      <c r="L49" s="181" t="s">
        <v>23</v>
      </c>
      <c r="M49" s="177"/>
      <c r="N49" s="177" t="s">
        <v>21</v>
      </c>
      <c r="O49"/>
      <c r="P49"/>
      <c r="Q49"/>
      <c r="R49"/>
    </row>
    <row r="50" spans="1:18" x14ac:dyDescent="0.45">
      <c r="A50" s="177" t="s">
        <v>1141</v>
      </c>
      <c r="B50" s="177" t="s">
        <v>831</v>
      </c>
      <c r="C50" s="177" t="s">
        <v>2034</v>
      </c>
      <c r="D50" s="177" t="s">
        <v>1142</v>
      </c>
      <c r="E50" s="177" t="s">
        <v>1143</v>
      </c>
      <c r="F50" s="177" t="s">
        <v>21</v>
      </c>
      <c r="G50" s="177">
        <v>45365</v>
      </c>
      <c r="H50" s="177"/>
      <c r="I50" s="177" t="s">
        <v>1144</v>
      </c>
      <c r="J50" s="177">
        <v>2019</v>
      </c>
      <c r="K50" s="177" t="s">
        <v>739</v>
      </c>
      <c r="L50" s="178" t="s">
        <v>30</v>
      </c>
      <c r="M50" s="177"/>
      <c r="N50" s="177" t="s">
        <v>21</v>
      </c>
      <c r="O50"/>
      <c r="P50"/>
      <c r="Q50"/>
      <c r="R50"/>
    </row>
    <row r="51" spans="1:18" x14ac:dyDescent="0.45">
      <c r="A51" s="177" t="s">
        <v>842</v>
      </c>
      <c r="B51" s="177" t="s">
        <v>831</v>
      </c>
      <c r="C51" s="177" t="s">
        <v>2034</v>
      </c>
      <c r="D51" s="177" t="s">
        <v>843</v>
      </c>
      <c r="E51" s="177" t="s">
        <v>239</v>
      </c>
      <c r="F51" s="177" t="s">
        <v>21</v>
      </c>
      <c r="G51" s="177">
        <v>35995</v>
      </c>
      <c r="H51" s="177"/>
      <c r="I51" s="180">
        <v>41461</v>
      </c>
      <c r="J51" s="177">
        <v>2013</v>
      </c>
      <c r="K51" s="177"/>
      <c r="L51" s="181" t="s">
        <v>23</v>
      </c>
      <c r="M51" s="177"/>
      <c r="N51" s="177" t="s">
        <v>21</v>
      </c>
      <c r="O51"/>
      <c r="P51"/>
      <c r="Q51"/>
      <c r="R51"/>
    </row>
    <row r="52" spans="1:18" x14ac:dyDescent="0.45">
      <c r="A52" s="177" t="s">
        <v>1145</v>
      </c>
      <c r="B52" s="177" t="s">
        <v>831</v>
      </c>
      <c r="C52" s="177" t="s">
        <v>2034</v>
      </c>
      <c r="D52" s="177" t="s">
        <v>1146</v>
      </c>
      <c r="E52" s="177" t="s">
        <v>1147</v>
      </c>
      <c r="F52" s="177" t="s">
        <v>21</v>
      </c>
      <c r="G52" s="177">
        <v>37274</v>
      </c>
      <c r="H52" s="177">
        <v>37274</v>
      </c>
      <c r="I52" s="180">
        <v>41859</v>
      </c>
      <c r="J52" s="177">
        <v>2014</v>
      </c>
      <c r="K52" s="177" t="s">
        <v>155</v>
      </c>
      <c r="L52" s="178" t="s">
        <v>30</v>
      </c>
      <c r="M52" s="177"/>
      <c r="N52" s="177" t="s">
        <v>21</v>
      </c>
      <c r="O52"/>
      <c r="P52"/>
      <c r="Q52"/>
      <c r="R52"/>
    </row>
    <row r="53" spans="1:18" x14ac:dyDescent="0.45">
      <c r="A53" s="177" t="s">
        <v>987</v>
      </c>
      <c r="B53" s="177" t="s">
        <v>831</v>
      </c>
      <c r="C53" s="177" t="s">
        <v>2034</v>
      </c>
      <c r="D53" s="177" t="s">
        <v>988</v>
      </c>
      <c r="E53" s="177"/>
      <c r="F53" s="177" t="s">
        <v>93</v>
      </c>
      <c r="G53" s="177">
        <v>26726</v>
      </c>
      <c r="H53" s="177"/>
      <c r="I53" s="177"/>
      <c r="J53" s="177"/>
      <c r="K53" s="177" t="s">
        <v>596</v>
      </c>
      <c r="L53" s="186" t="s">
        <v>597</v>
      </c>
      <c r="M53" s="177" t="s">
        <v>94</v>
      </c>
      <c r="N53" s="177"/>
      <c r="O53"/>
      <c r="P53"/>
      <c r="Q53"/>
      <c r="R53"/>
    </row>
    <row r="54" spans="1:18" x14ac:dyDescent="0.45">
      <c r="A54" s="177" t="s">
        <v>998</v>
      </c>
      <c r="B54" s="177" t="s">
        <v>831</v>
      </c>
      <c r="C54" s="177" t="s">
        <v>2034</v>
      </c>
      <c r="D54" s="177" t="s">
        <v>999</v>
      </c>
      <c r="E54" s="177"/>
      <c r="F54" s="177" t="s">
        <v>874</v>
      </c>
      <c r="G54" s="177" t="s">
        <v>1000</v>
      </c>
      <c r="H54" s="177"/>
      <c r="I54" s="177" t="s">
        <v>424</v>
      </c>
      <c r="J54" s="177">
        <v>2019</v>
      </c>
      <c r="K54" s="177" t="s">
        <v>37</v>
      </c>
      <c r="L54" s="178" t="s">
        <v>30</v>
      </c>
      <c r="M54" s="177"/>
      <c r="N54" s="177" t="s">
        <v>874</v>
      </c>
      <c r="O54"/>
      <c r="P54"/>
      <c r="Q54"/>
      <c r="R54"/>
    </row>
    <row r="55" spans="1:18" x14ac:dyDescent="0.45">
      <c r="A55" s="177" t="s">
        <v>1173</v>
      </c>
      <c r="B55" s="177" t="s">
        <v>831</v>
      </c>
      <c r="C55" s="177" t="s">
        <v>2034</v>
      </c>
      <c r="D55" s="177" t="s">
        <v>1174</v>
      </c>
      <c r="E55" s="177" t="s">
        <v>1175</v>
      </c>
      <c r="F55" s="177" t="s">
        <v>21</v>
      </c>
      <c r="G55" s="177">
        <v>38602</v>
      </c>
      <c r="H55" s="177"/>
      <c r="I55" s="177" t="s">
        <v>1176</v>
      </c>
      <c r="J55" s="177">
        <v>2015</v>
      </c>
      <c r="K55" s="177"/>
      <c r="L55" s="181" t="s">
        <v>23</v>
      </c>
      <c r="M55" s="177"/>
      <c r="N55" s="177" t="s">
        <v>21</v>
      </c>
      <c r="O55"/>
      <c r="P55"/>
      <c r="Q55"/>
      <c r="R55"/>
    </row>
    <row r="56" spans="1:18" x14ac:dyDescent="0.45">
      <c r="A56" s="177" t="s">
        <v>1110</v>
      </c>
      <c r="B56" s="177" t="s">
        <v>831</v>
      </c>
      <c r="C56" s="177" t="s">
        <v>2034</v>
      </c>
      <c r="D56" s="177" t="s">
        <v>1111</v>
      </c>
      <c r="E56" s="177" t="s">
        <v>1112</v>
      </c>
      <c r="F56" s="177" t="s">
        <v>21</v>
      </c>
      <c r="G56" s="177">
        <v>33032</v>
      </c>
      <c r="H56" s="177">
        <v>33016</v>
      </c>
      <c r="I56" s="177" t="s">
        <v>1113</v>
      </c>
      <c r="J56" s="177">
        <v>2010</v>
      </c>
      <c r="K56" s="177" t="s">
        <v>1114</v>
      </c>
      <c r="L56" s="184" t="s">
        <v>61</v>
      </c>
      <c r="M56" s="177"/>
      <c r="N56" s="177" t="s">
        <v>21</v>
      </c>
      <c r="O56"/>
      <c r="P56"/>
      <c r="Q56"/>
      <c r="R56"/>
    </row>
    <row r="57" spans="1:18" x14ac:dyDescent="0.45">
      <c r="A57" s="177" t="s">
        <v>1180</v>
      </c>
      <c r="B57" s="177" t="s">
        <v>831</v>
      </c>
      <c r="C57" s="177" t="s">
        <v>2034</v>
      </c>
      <c r="D57" s="177" t="s">
        <v>1181</v>
      </c>
      <c r="E57" s="177" t="s">
        <v>1182</v>
      </c>
      <c r="F57" s="177" t="s">
        <v>21</v>
      </c>
      <c r="G57" s="177">
        <v>36869</v>
      </c>
      <c r="H57" s="177"/>
      <c r="I57" s="177" t="s">
        <v>1095</v>
      </c>
      <c r="J57" s="177">
        <v>2014</v>
      </c>
      <c r="K57" s="177"/>
      <c r="L57" s="181" t="s">
        <v>23</v>
      </c>
      <c r="M57" s="177"/>
      <c r="N57" s="177" t="s">
        <v>21</v>
      </c>
      <c r="O57"/>
      <c r="P57"/>
      <c r="Q57"/>
      <c r="R57"/>
    </row>
    <row r="58" spans="1:18" x14ac:dyDescent="0.45">
      <c r="A58" s="177" t="s">
        <v>1239</v>
      </c>
      <c r="B58" s="177" t="s">
        <v>831</v>
      </c>
      <c r="C58" s="177" t="s">
        <v>2034</v>
      </c>
      <c r="D58" s="177" t="s">
        <v>1240</v>
      </c>
      <c r="E58" s="177" t="s">
        <v>1241</v>
      </c>
      <c r="F58" s="177" t="s">
        <v>21</v>
      </c>
      <c r="G58" s="177">
        <v>34304</v>
      </c>
      <c r="H58" s="177">
        <v>34204</v>
      </c>
      <c r="I58" s="177" t="s">
        <v>163</v>
      </c>
      <c r="J58" s="177">
        <v>2011</v>
      </c>
      <c r="K58" s="177" t="s">
        <v>164</v>
      </c>
      <c r="L58" s="178" t="s">
        <v>30</v>
      </c>
      <c r="M58" s="177"/>
      <c r="N58" s="177" t="s">
        <v>21</v>
      </c>
      <c r="O58"/>
      <c r="P58"/>
      <c r="Q58"/>
      <c r="R58"/>
    </row>
    <row r="59" spans="1:18" x14ac:dyDescent="0.45">
      <c r="A59" s="183" t="s">
        <v>2305</v>
      </c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/>
      <c r="P59"/>
      <c r="Q59"/>
      <c r="R59"/>
    </row>
    <row r="60" spans="1:18" x14ac:dyDescent="0.45">
      <c r="A60" s="177" t="s">
        <v>1158</v>
      </c>
      <c r="B60" s="177" t="s">
        <v>831</v>
      </c>
      <c r="C60" s="177" t="s">
        <v>2051</v>
      </c>
      <c r="D60" s="177" t="s">
        <v>1159</v>
      </c>
      <c r="E60" s="177"/>
      <c r="F60" s="177" t="s">
        <v>1912</v>
      </c>
      <c r="G60" s="177" t="s">
        <v>1160</v>
      </c>
      <c r="H60" s="177" t="s">
        <v>1161</v>
      </c>
      <c r="I60" s="177"/>
      <c r="J60" s="177"/>
      <c r="K60" s="177" t="s">
        <v>388</v>
      </c>
      <c r="L60" s="184" t="s">
        <v>61</v>
      </c>
      <c r="M60" s="177" t="s">
        <v>1162</v>
      </c>
      <c r="N60" s="177" t="s">
        <v>1163</v>
      </c>
      <c r="O60"/>
      <c r="P60"/>
      <c r="Q60"/>
      <c r="R60"/>
    </row>
    <row r="61" spans="1:18" x14ac:dyDescent="0.45">
      <c r="A61" s="177" t="s">
        <v>1011</v>
      </c>
      <c r="B61" s="177" t="s">
        <v>831</v>
      </c>
      <c r="C61" s="177" t="s">
        <v>2051</v>
      </c>
      <c r="D61" s="177" t="s">
        <v>1012</v>
      </c>
      <c r="E61" s="177"/>
      <c r="F61" s="177" t="s">
        <v>1912</v>
      </c>
      <c r="G61" s="177" t="s">
        <v>1013</v>
      </c>
      <c r="H61" s="177" t="s">
        <v>1014</v>
      </c>
      <c r="I61" s="177"/>
      <c r="J61" s="177"/>
      <c r="K61" s="177" t="s">
        <v>388</v>
      </c>
      <c r="L61" s="184" t="s">
        <v>61</v>
      </c>
      <c r="M61" s="177" t="s">
        <v>1015</v>
      </c>
      <c r="N61" s="177" t="s">
        <v>1016</v>
      </c>
      <c r="O61"/>
      <c r="P61"/>
      <c r="Q61"/>
      <c r="R61"/>
    </row>
    <row r="62" spans="1:18" x14ac:dyDescent="0.45">
      <c r="A62" s="177" t="s">
        <v>1035</v>
      </c>
      <c r="B62" s="177" t="s">
        <v>831</v>
      </c>
      <c r="C62" s="177" t="s">
        <v>2051</v>
      </c>
      <c r="D62" s="177" t="s">
        <v>1036</v>
      </c>
      <c r="E62" s="177"/>
      <c r="F62" s="177" t="s">
        <v>1912</v>
      </c>
      <c r="G62" s="177" t="s">
        <v>1037</v>
      </c>
      <c r="H62" s="177" t="s">
        <v>1038</v>
      </c>
      <c r="I62" s="177"/>
      <c r="J62" s="177"/>
      <c r="K62" s="177" t="s">
        <v>302</v>
      </c>
      <c r="L62" s="185" t="s">
        <v>280</v>
      </c>
      <c r="M62" s="177" t="s">
        <v>1039</v>
      </c>
      <c r="N62" s="177" t="s">
        <v>290</v>
      </c>
      <c r="O62"/>
      <c r="P62"/>
      <c r="Q62"/>
      <c r="R62"/>
    </row>
    <row r="63" spans="1:18" x14ac:dyDescent="0.45">
      <c r="A63" s="183" t="s">
        <v>2306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/>
      <c r="P63"/>
      <c r="Q63"/>
      <c r="R63"/>
    </row>
    <row r="64" spans="1:18" x14ac:dyDescent="0.45">
      <c r="A64" s="177" t="s">
        <v>1025</v>
      </c>
      <c r="B64" s="177" t="s">
        <v>831</v>
      </c>
      <c r="C64" s="177" t="s">
        <v>2052</v>
      </c>
      <c r="D64" s="177" t="s">
        <v>1026</v>
      </c>
      <c r="E64" s="177"/>
      <c r="F64" s="177" t="s">
        <v>466</v>
      </c>
      <c r="G64" s="177">
        <v>67911</v>
      </c>
      <c r="H64" s="177"/>
      <c r="I64" s="180">
        <v>45301</v>
      </c>
      <c r="J64" s="177">
        <v>2024</v>
      </c>
      <c r="K64" s="177" t="s">
        <v>106</v>
      </c>
      <c r="L64" s="182" t="s">
        <v>107</v>
      </c>
      <c r="M64" s="177"/>
      <c r="N64" s="177" t="s">
        <v>1027</v>
      </c>
      <c r="O64"/>
      <c r="P64"/>
      <c r="Q64"/>
      <c r="R64"/>
    </row>
    <row r="65" spans="1:18" x14ac:dyDescent="0.45">
      <c r="A65" s="177" t="s">
        <v>1028</v>
      </c>
      <c r="B65" s="177" t="s">
        <v>831</v>
      </c>
      <c r="C65" s="177" t="s">
        <v>2052</v>
      </c>
      <c r="D65" s="177" t="s">
        <v>1029</v>
      </c>
      <c r="E65" s="177"/>
      <c r="F65" s="177" t="s">
        <v>1019</v>
      </c>
      <c r="G65" s="177" t="s">
        <v>1030</v>
      </c>
      <c r="H65" s="177"/>
      <c r="I65" s="177" t="s">
        <v>1031</v>
      </c>
      <c r="J65" s="177">
        <v>2024</v>
      </c>
      <c r="K65" s="177" t="s">
        <v>106</v>
      </c>
      <c r="L65" s="182" t="s">
        <v>107</v>
      </c>
      <c r="M65" s="177"/>
      <c r="N65" s="177" t="s">
        <v>1019</v>
      </c>
      <c r="O65"/>
      <c r="P65"/>
      <c r="Q65"/>
      <c r="R65"/>
    </row>
    <row r="66" spans="1:18" x14ac:dyDescent="0.45">
      <c r="A66" s="183" t="s">
        <v>2307</v>
      </c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/>
      <c r="P66"/>
      <c r="Q66"/>
      <c r="R66"/>
    </row>
    <row r="67" spans="1:18" x14ac:dyDescent="0.45">
      <c r="A67" s="177" t="s">
        <v>1133</v>
      </c>
      <c r="B67" s="177" t="s">
        <v>831</v>
      </c>
      <c r="C67" s="177" t="s">
        <v>2055</v>
      </c>
      <c r="D67" s="177" t="s">
        <v>1134</v>
      </c>
      <c r="E67" s="177"/>
      <c r="F67" s="177" t="s">
        <v>93</v>
      </c>
      <c r="G67" s="177">
        <v>22315</v>
      </c>
      <c r="H67" s="177"/>
      <c r="I67" s="177"/>
      <c r="J67" s="177"/>
      <c r="K67" s="177" t="s">
        <v>596</v>
      </c>
      <c r="L67" s="186" t="s">
        <v>597</v>
      </c>
      <c r="M67" s="177" t="s">
        <v>94</v>
      </c>
      <c r="N67" s="177"/>
      <c r="O67"/>
      <c r="P67"/>
      <c r="Q67"/>
      <c r="R67"/>
    </row>
    <row r="68" spans="1:18" x14ac:dyDescent="0.45">
      <c r="A68" s="177" t="s">
        <v>1183</v>
      </c>
      <c r="B68" s="177" t="s">
        <v>831</v>
      </c>
      <c r="C68" s="177" t="s">
        <v>2055</v>
      </c>
      <c r="D68" s="177" t="s">
        <v>1184</v>
      </c>
      <c r="E68" s="177"/>
      <c r="F68" s="177" t="s">
        <v>93</v>
      </c>
      <c r="G68" s="177">
        <v>25931</v>
      </c>
      <c r="H68" s="177"/>
      <c r="I68" s="177"/>
      <c r="J68" s="177"/>
      <c r="K68" s="177" t="s">
        <v>596</v>
      </c>
      <c r="L68" s="186" t="s">
        <v>597</v>
      </c>
      <c r="M68" s="177" t="s">
        <v>94</v>
      </c>
      <c r="N68" s="177"/>
      <c r="O68"/>
      <c r="P68"/>
      <c r="Q68"/>
      <c r="R68"/>
    </row>
    <row r="69" spans="1:18" x14ac:dyDescent="0.45">
      <c r="A69" s="177" t="s">
        <v>1032</v>
      </c>
      <c r="B69" s="177" t="s">
        <v>831</v>
      </c>
      <c r="C69" s="177" t="s">
        <v>2055</v>
      </c>
      <c r="D69" s="177" t="s">
        <v>1033</v>
      </c>
      <c r="E69" s="177"/>
      <c r="F69" s="177" t="s">
        <v>466</v>
      </c>
      <c r="G69" s="177">
        <v>71524</v>
      </c>
      <c r="H69" s="177"/>
      <c r="I69" s="177" t="s">
        <v>1034</v>
      </c>
      <c r="J69" s="177">
        <v>2025</v>
      </c>
      <c r="K69" s="177" t="s">
        <v>78</v>
      </c>
      <c r="L69" s="179" t="s">
        <v>79</v>
      </c>
      <c r="M69" s="177"/>
      <c r="N69" s="177" t="s">
        <v>466</v>
      </c>
      <c r="O69"/>
      <c r="P69"/>
      <c r="Q69"/>
      <c r="R69"/>
    </row>
    <row r="70" spans="1:18" x14ac:dyDescent="0.45">
      <c r="A70" s="177" t="s">
        <v>1227</v>
      </c>
      <c r="B70" s="177" t="s">
        <v>831</v>
      </c>
      <c r="C70" s="177" t="s">
        <v>2055</v>
      </c>
      <c r="D70" s="177" t="s">
        <v>1228</v>
      </c>
      <c r="E70" s="177"/>
      <c r="F70" s="177" t="s">
        <v>413</v>
      </c>
      <c r="G70" s="177" t="s">
        <v>1229</v>
      </c>
      <c r="H70" s="177"/>
      <c r="I70" s="180">
        <v>45749</v>
      </c>
      <c r="J70" s="177">
        <v>2025</v>
      </c>
      <c r="K70" s="177" t="s">
        <v>78</v>
      </c>
      <c r="L70" s="179" t="s">
        <v>79</v>
      </c>
      <c r="M70" s="177"/>
      <c r="N70" s="177" t="s">
        <v>413</v>
      </c>
      <c r="O70"/>
      <c r="P70"/>
      <c r="Q70"/>
      <c r="R70"/>
    </row>
    <row r="71" spans="1:18" x14ac:dyDescent="0.45">
      <c r="A71" s="183" t="s">
        <v>2308</v>
      </c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/>
      <c r="P71"/>
      <c r="Q71"/>
      <c r="R71"/>
    </row>
    <row r="72" spans="1:18" x14ac:dyDescent="0.45">
      <c r="A72" s="177" t="s">
        <v>990</v>
      </c>
      <c r="B72" s="177" t="s">
        <v>831</v>
      </c>
      <c r="C72" s="177" t="s">
        <v>2060</v>
      </c>
      <c r="D72" s="177" t="s">
        <v>768</v>
      </c>
      <c r="E72" s="177"/>
      <c r="F72" s="177" t="s">
        <v>1912</v>
      </c>
      <c r="G72" s="177" t="s">
        <v>769</v>
      </c>
      <c r="H72" s="177" t="s">
        <v>991</v>
      </c>
      <c r="I72" s="177"/>
      <c r="J72" s="177"/>
      <c r="K72" s="177" t="s">
        <v>302</v>
      </c>
      <c r="L72" s="185" t="s">
        <v>280</v>
      </c>
      <c r="M72" s="177" t="s">
        <v>360</v>
      </c>
      <c r="N72" s="177" t="s">
        <v>361</v>
      </c>
      <c r="O72"/>
      <c r="P72"/>
      <c r="Q72"/>
      <c r="R72"/>
    </row>
    <row r="73" spans="1:18" x14ac:dyDescent="0.45">
      <c r="A73" s="177" t="s">
        <v>992</v>
      </c>
      <c r="B73" s="177" t="s">
        <v>831</v>
      </c>
      <c r="C73" s="177" t="s">
        <v>2060</v>
      </c>
      <c r="D73" s="177" t="s">
        <v>762</v>
      </c>
      <c r="E73" s="177"/>
      <c r="F73" s="177" t="s">
        <v>1912</v>
      </c>
      <c r="G73" s="177" t="s">
        <v>993</v>
      </c>
      <c r="H73" s="177" t="s">
        <v>994</v>
      </c>
      <c r="I73" s="177"/>
      <c r="J73" s="177"/>
      <c r="K73" s="177" t="s">
        <v>995</v>
      </c>
      <c r="L73" s="185" t="s">
        <v>280</v>
      </c>
      <c r="M73" s="177" t="s">
        <v>996</v>
      </c>
      <c r="N73" s="177" t="s">
        <v>997</v>
      </c>
      <c r="O73"/>
      <c r="P73"/>
      <c r="Q73"/>
      <c r="R73"/>
    </row>
    <row r="74" spans="1:18" x14ac:dyDescent="0.45">
      <c r="A74" s="177" t="s">
        <v>1164</v>
      </c>
      <c r="B74" s="177" t="s">
        <v>831</v>
      </c>
      <c r="C74" s="177" t="s">
        <v>2060</v>
      </c>
      <c r="D74" s="177" t="s">
        <v>1165</v>
      </c>
      <c r="E74" s="177"/>
      <c r="F74" s="177" t="s">
        <v>1912</v>
      </c>
      <c r="G74" s="177" t="s">
        <v>567</v>
      </c>
      <c r="H74" s="177" t="s">
        <v>1166</v>
      </c>
      <c r="I74" s="177"/>
      <c r="J74" s="177"/>
      <c r="K74" s="177" t="s">
        <v>302</v>
      </c>
      <c r="L74" s="185" t="s">
        <v>280</v>
      </c>
      <c r="M74" s="177" t="s">
        <v>569</v>
      </c>
      <c r="N74" s="177" t="s">
        <v>290</v>
      </c>
      <c r="O74"/>
      <c r="P74"/>
      <c r="Q74"/>
      <c r="R74"/>
    </row>
    <row r="75" spans="1:18" x14ac:dyDescent="0.45">
      <c r="A75" s="177" t="s">
        <v>869</v>
      </c>
      <c r="B75" s="177" t="s">
        <v>831</v>
      </c>
      <c r="C75" s="177" t="s">
        <v>2060</v>
      </c>
      <c r="D75" s="177" t="s">
        <v>870</v>
      </c>
      <c r="E75" s="177"/>
      <c r="F75" s="177" t="s">
        <v>93</v>
      </c>
      <c r="G75" s="177">
        <v>31827</v>
      </c>
      <c r="H75" s="177"/>
      <c r="I75" s="177"/>
      <c r="J75" s="177"/>
      <c r="K75" s="177" t="s">
        <v>396</v>
      </c>
      <c r="L75" s="184" t="s">
        <v>61</v>
      </c>
      <c r="M75" s="177" t="s">
        <v>94</v>
      </c>
      <c r="N75" s="177"/>
      <c r="O75"/>
      <c r="P75"/>
      <c r="Q75"/>
      <c r="R75"/>
    </row>
    <row r="76" spans="1:18" x14ac:dyDescent="0.45">
      <c r="A76" s="177" t="s">
        <v>872</v>
      </c>
      <c r="B76" s="177" t="s">
        <v>831</v>
      </c>
      <c r="C76" s="177" t="s">
        <v>2060</v>
      </c>
      <c r="D76" s="177" t="s">
        <v>873</v>
      </c>
      <c r="E76" s="177"/>
      <c r="F76" s="177" t="s">
        <v>874</v>
      </c>
      <c r="G76" s="177" t="s">
        <v>875</v>
      </c>
      <c r="H76" s="177"/>
      <c r="I76" s="177" t="s">
        <v>876</v>
      </c>
      <c r="J76" s="177">
        <v>2023</v>
      </c>
      <c r="K76" s="177" t="s">
        <v>106</v>
      </c>
      <c r="L76" s="182" t="s">
        <v>107</v>
      </c>
      <c r="M76" s="177"/>
      <c r="N76" s="177" t="s">
        <v>874</v>
      </c>
      <c r="O76"/>
      <c r="P76"/>
      <c r="Q76"/>
      <c r="R76"/>
    </row>
    <row r="77" spans="1:18" x14ac:dyDescent="0.45">
      <c r="A77" s="177" t="s">
        <v>877</v>
      </c>
      <c r="B77" s="177" t="s">
        <v>831</v>
      </c>
      <c r="C77" s="177" t="s">
        <v>2060</v>
      </c>
      <c r="D77" s="177" t="s">
        <v>878</v>
      </c>
      <c r="E77" s="177"/>
      <c r="F77" s="177" t="s">
        <v>93</v>
      </c>
      <c r="G77" s="177">
        <v>24159</v>
      </c>
      <c r="H77" s="177"/>
      <c r="I77" s="177"/>
      <c r="J77" s="177"/>
      <c r="K77" s="177" t="s">
        <v>596</v>
      </c>
      <c r="L77" s="186" t="s">
        <v>597</v>
      </c>
      <c r="M77" s="177" t="s">
        <v>94</v>
      </c>
      <c r="N77" s="177"/>
      <c r="O77"/>
      <c r="P77"/>
      <c r="Q77"/>
      <c r="R77"/>
    </row>
    <row r="78" spans="1:18" x14ac:dyDescent="0.45">
      <c r="A78" s="177" t="s">
        <v>880</v>
      </c>
      <c r="B78" s="177" t="s">
        <v>831</v>
      </c>
      <c r="C78" s="177" t="s">
        <v>2060</v>
      </c>
      <c r="D78" s="177" t="s">
        <v>881</v>
      </c>
      <c r="E78" s="177"/>
      <c r="F78" s="177" t="s">
        <v>1912</v>
      </c>
      <c r="G78" s="177" t="s">
        <v>882</v>
      </c>
      <c r="H78" s="177" t="s">
        <v>883</v>
      </c>
      <c r="I78" s="177"/>
      <c r="J78" s="177"/>
      <c r="K78" s="177" t="s">
        <v>302</v>
      </c>
      <c r="L78" s="185" t="s">
        <v>280</v>
      </c>
      <c r="M78" s="177" t="s">
        <v>416</v>
      </c>
      <c r="N78" s="177" t="s">
        <v>884</v>
      </c>
      <c r="O78"/>
      <c r="P78"/>
      <c r="Q78"/>
      <c r="R78"/>
    </row>
    <row r="79" spans="1:18" x14ac:dyDescent="0.45">
      <c r="A79" s="177" t="s">
        <v>904</v>
      </c>
      <c r="B79" s="177" t="s">
        <v>831</v>
      </c>
      <c r="C79" s="177" t="s">
        <v>2060</v>
      </c>
      <c r="D79" s="177" t="s">
        <v>905</v>
      </c>
      <c r="E79" s="177"/>
      <c r="F79" s="177" t="s">
        <v>76</v>
      </c>
      <c r="G79" s="177">
        <v>74005</v>
      </c>
      <c r="H79" s="177"/>
      <c r="I79" s="177" t="s">
        <v>906</v>
      </c>
      <c r="J79" s="177">
        <v>2026</v>
      </c>
      <c r="K79" s="177" t="s">
        <v>78</v>
      </c>
      <c r="L79" s="179" t="s">
        <v>79</v>
      </c>
      <c r="M79" s="177"/>
      <c r="N79" s="177" t="s">
        <v>76</v>
      </c>
      <c r="O79"/>
      <c r="P79"/>
      <c r="Q79"/>
      <c r="R79"/>
    </row>
    <row r="80" spans="1:18" x14ac:dyDescent="0.45">
      <c r="A80" s="177" t="s">
        <v>907</v>
      </c>
      <c r="B80" s="177" t="s">
        <v>831</v>
      </c>
      <c r="C80" s="177" t="s">
        <v>2060</v>
      </c>
      <c r="D80" s="177" t="s">
        <v>908</v>
      </c>
      <c r="E80" s="177"/>
      <c r="F80" s="177" t="s">
        <v>1912</v>
      </c>
      <c r="G80" s="177" t="s">
        <v>909</v>
      </c>
      <c r="H80" s="177" t="s">
        <v>910</v>
      </c>
      <c r="I80" s="177"/>
      <c r="J80" s="177"/>
      <c r="K80" s="177" t="s">
        <v>302</v>
      </c>
      <c r="L80" s="185" t="s">
        <v>280</v>
      </c>
      <c r="M80" s="177" t="s">
        <v>416</v>
      </c>
      <c r="N80" s="177" t="s">
        <v>290</v>
      </c>
      <c r="O80"/>
      <c r="P80"/>
      <c r="Q80"/>
      <c r="R80"/>
    </row>
    <row r="81" spans="1:18" x14ac:dyDescent="0.45">
      <c r="A81" s="177" t="s">
        <v>911</v>
      </c>
      <c r="B81" s="177" t="s">
        <v>831</v>
      </c>
      <c r="C81" s="177" t="s">
        <v>2060</v>
      </c>
      <c r="D81" s="177" t="s">
        <v>912</v>
      </c>
      <c r="E81" s="177"/>
      <c r="F81" s="177" t="s">
        <v>913</v>
      </c>
      <c r="G81" s="177" t="s">
        <v>914</v>
      </c>
      <c r="H81" s="177"/>
      <c r="I81" s="180">
        <v>45394</v>
      </c>
      <c r="J81" s="177">
        <v>2024</v>
      </c>
      <c r="K81" s="177" t="s">
        <v>78</v>
      </c>
      <c r="L81" s="179" t="s">
        <v>79</v>
      </c>
      <c r="M81" s="177"/>
      <c r="N81" s="177" t="s">
        <v>913</v>
      </c>
      <c r="O81"/>
      <c r="P81"/>
      <c r="Q81"/>
      <c r="R81"/>
    </row>
    <row r="82" spans="1:18" x14ac:dyDescent="0.45">
      <c r="A82" s="177" t="s">
        <v>915</v>
      </c>
      <c r="B82" s="177" t="s">
        <v>831</v>
      </c>
      <c r="C82" s="177" t="s">
        <v>2060</v>
      </c>
      <c r="D82" s="177" t="s">
        <v>916</v>
      </c>
      <c r="E82" s="177"/>
      <c r="F82" s="177" t="s">
        <v>1912</v>
      </c>
      <c r="G82" s="177" t="s">
        <v>917</v>
      </c>
      <c r="H82" s="177" t="s">
        <v>918</v>
      </c>
      <c r="I82" s="177"/>
      <c r="J82" s="177"/>
      <c r="K82" s="177" t="s">
        <v>388</v>
      </c>
      <c r="L82" s="184" t="s">
        <v>61</v>
      </c>
      <c r="M82" s="177" t="s">
        <v>416</v>
      </c>
      <c r="N82" s="177" t="s">
        <v>919</v>
      </c>
      <c r="O82"/>
      <c r="P82"/>
      <c r="Q82"/>
      <c r="R82"/>
    </row>
    <row r="83" spans="1:18" x14ac:dyDescent="0.45">
      <c r="A83" s="177" t="s">
        <v>1198</v>
      </c>
      <c r="B83" s="177" t="s">
        <v>831</v>
      </c>
      <c r="C83" s="177" t="s">
        <v>2060</v>
      </c>
      <c r="D83" s="177" t="s">
        <v>1199</v>
      </c>
      <c r="E83" s="177"/>
      <c r="F83" s="177" t="s">
        <v>1912</v>
      </c>
      <c r="G83" s="177" t="s">
        <v>1200</v>
      </c>
      <c r="H83" s="177" t="s">
        <v>1201</v>
      </c>
      <c r="I83" s="177"/>
      <c r="J83" s="177"/>
      <c r="K83" s="177" t="s">
        <v>388</v>
      </c>
      <c r="L83" s="184" t="s">
        <v>61</v>
      </c>
      <c r="M83" s="177" t="s">
        <v>1202</v>
      </c>
      <c r="N83" s="177" t="s">
        <v>1203</v>
      </c>
      <c r="O83"/>
      <c r="P83"/>
      <c r="Q83"/>
      <c r="R83"/>
    </row>
    <row r="84" spans="1:18" x14ac:dyDescent="0.45">
      <c r="A84" s="177" t="s">
        <v>920</v>
      </c>
      <c r="B84" s="177" t="s">
        <v>831</v>
      </c>
      <c r="C84" s="177" t="s">
        <v>2060</v>
      </c>
      <c r="D84" s="177" t="s">
        <v>921</v>
      </c>
      <c r="E84" s="177"/>
      <c r="F84" s="177" t="s">
        <v>1912</v>
      </c>
      <c r="G84" s="177" t="s">
        <v>922</v>
      </c>
      <c r="H84" s="177" t="s">
        <v>923</v>
      </c>
      <c r="I84" s="177"/>
      <c r="J84" s="177"/>
      <c r="K84" s="177" t="s">
        <v>388</v>
      </c>
      <c r="L84" s="184" t="s">
        <v>61</v>
      </c>
      <c r="M84" s="177" t="s">
        <v>924</v>
      </c>
      <c r="N84" s="177" t="s">
        <v>925</v>
      </c>
      <c r="O84"/>
      <c r="P84"/>
      <c r="Q84"/>
      <c r="R84"/>
    </row>
    <row r="85" spans="1:18" x14ac:dyDescent="0.45">
      <c r="A85" s="177" t="s">
        <v>926</v>
      </c>
      <c r="B85" s="177" t="s">
        <v>831</v>
      </c>
      <c r="C85" s="177" t="s">
        <v>2060</v>
      </c>
      <c r="D85" s="177" t="s">
        <v>927</v>
      </c>
      <c r="E85" s="177"/>
      <c r="F85" s="177" t="s">
        <v>1912</v>
      </c>
      <c r="G85" s="177" t="s">
        <v>928</v>
      </c>
      <c r="H85" s="177" t="s">
        <v>929</v>
      </c>
      <c r="I85" s="177"/>
      <c r="J85" s="177"/>
      <c r="K85" s="177" t="s">
        <v>388</v>
      </c>
      <c r="L85" s="184" t="s">
        <v>61</v>
      </c>
      <c r="M85" s="177" t="s">
        <v>416</v>
      </c>
      <c r="N85" s="177" t="s">
        <v>895</v>
      </c>
      <c r="O85"/>
      <c r="P85"/>
      <c r="Q85"/>
      <c r="R85"/>
    </row>
    <row r="86" spans="1:18" x14ac:dyDescent="0.45">
      <c r="A86" s="177" t="s">
        <v>930</v>
      </c>
      <c r="B86" s="177" t="s">
        <v>831</v>
      </c>
      <c r="C86" s="177" t="s">
        <v>2060</v>
      </c>
      <c r="D86" s="177" t="s">
        <v>931</v>
      </c>
      <c r="E86" s="177"/>
      <c r="F86" s="177" t="s">
        <v>1912</v>
      </c>
      <c r="G86" s="177" t="s">
        <v>932</v>
      </c>
      <c r="H86" s="177" t="s">
        <v>933</v>
      </c>
      <c r="I86" s="177"/>
      <c r="J86" s="177"/>
      <c r="K86" s="177" t="s">
        <v>388</v>
      </c>
      <c r="L86" s="184" t="s">
        <v>61</v>
      </c>
      <c r="M86" s="177" t="s">
        <v>934</v>
      </c>
      <c r="N86" s="177" t="s">
        <v>935</v>
      </c>
      <c r="O86"/>
      <c r="P86"/>
      <c r="Q86"/>
      <c r="R86"/>
    </row>
    <row r="87" spans="1:18" x14ac:dyDescent="0.45">
      <c r="A87" s="177" t="s">
        <v>1214</v>
      </c>
      <c r="B87" s="177" t="s">
        <v>831</v>
      </c>
      <c r="C87" s="177" t="s">
        <v>2060</v>
      </c>
      <c r="D87" s="177" t="s">
        <v>1215</v>
      </c>
      <c r="E87" s="177"/>
      <c r="F87" s="177" t="s">
        <v>1912</v>
      </c>
      <c r="G87" s="177" t="s">
        <v>1216</v>
      </c>
      <c r="H87" s="177" t="s">
        <v>1217</v>
      </c>
      <c r="I87" s="177"/>
      <c r="J87" s="177"/>
      <c r="K87" s="177" t="s">
        <v>388</v>
      </c>
      <c r="L87" s="184" t="s">
        <v>61</v>
      </c>
      <c r="M87" s="177" t="s">
        <v>528</v>
      </c>
      <c r="N87" s="177" t="s">
        <v>1218</v>
      </c>
      <c r="O87"/>
      <c r="P87"/>
      <c r="Q87"/>
      <c r="R87"/>
    </row>
    <row r="88" spans="1:18" x14ac:dyDescent="0.45">
      <c r="A88" s="177" t="s">
        <v>1251</v>
      </c>
      <c r="B88" s="177" t="s">
        <v>831</v>
      </c>
      <c r="C88" s="177" t="s">
        <v>2060</v>
      </c>
      <c r="D88" s="177" t="s">
        <v>1252</v>
      </c>
      <c r="E88" s="177"/>
      <c r="F88" s="177" t="s">
        <v>1912</v>
      </c>
      <c r="G88" s="177" t="s">
        <v>1253</v>
      </c>
      <c r="H88" s="177" t="s">
        <v>1254</v>
      </c>
      <c r="I88" s="177"/>
      <c r="J88" s="177"/>
      <c r="K88" s="177" t="s">
        <v>826</v>
      </c>
      <c r="L88" s="185" t="s">
        <v>280</v>
      </c>
      <c r="M88" s="177" t="s">
        <v>303</v>
      </c>
      <c r="N88" s="177" t="s">
        <v>290</v>
      </c>
      <c r="O88"/>
      <c r="P88"/>
      <c r="Q88"/>
      <c r="R88"/>
    </row>
    <row r="89" spans="1:18" x14ac:dyDescent="0.45">
      <c r="A89" s="177" t="s">
        <v>1255</v>
      </c>
      <c r="B89" s="177" t="s">
        <v>831</v>
      </c>
      <c r="C89" s="177" t="s">
        <v>2060</v>
      </c>
      <c r="D89" s="177" t="s">
        <v>1256</v>
      </c>
      <c r="E89" s="177"/>
      <c r="F89" s="177" t="s">
        <v>1912</v>
      </c>
      <c r="G89" s="177" t="s">
        <v>1257</v>
      </c>
      <c r="H89" s="177" t="s">
        <v>1258</v>
      </c>
      <c r="I89" s="177"/>
      <c r="J89" s="177"/>
      <c r="K89" s="177" t="s">
        <v>388</v>
      </c>
      <c r="L89" s="184" t="s">
        <v>61</v>
      </c>
      <c r="M89" s="177" t="s">
        <v>320</v>
      </c>
      <c r="N89" s="177" t="s">
        <v>1249</v>
      </c>
      <c r="O89"/>
      <c r="P89"/>
      <c r="Q89"/>
      <c r="R89"/>
    </row>
    <row r="90" spans="1:18" x14ac:dyDescent="0.45">
      <c r="A90" s="177" t="s">
        <v>1259</v>
      </c>
      <c r="B90" s="177" t="s">
        <v>831</v>
      </c>
      <c r="C90" s="177" t="s">
        <v>2060</v>
      </c>
      <c r="D90" s="177" t="s">
        <v>1260</v>
      </c>
      <c r="E90" s="177"/>
      <c r="F90" s="177" t="s">
        <v>1912</v>
      </c>
      <c r="G90" s="177" t="s">
        <v>1261</v>
      </c>
      <c r="H90" s="177" t="s">
        <v>1262</v>
      </c>
      <c r="I90" s="177"/>
      <c r="J90" s="177"/>
      <c r="K90" s="177" t="s">
        <v>388</v>
      </c>
      <c r="L90" s="184" t="s">
        <v>61</v>
      </c>
      <c r="M90" s="177" t="s">
        <v>320</v>
      </c>
      <c r="N90" s="177" t="s">
        <v>1249</v>
      </c>
      <c r="O90"/>
      <c r="P90"/>
      <c r="Q90"/>
      <c r="R90"/>
    </row>
    <row r="91" spans="1:18" x14ac:dyDescent="0.45">
      <c r="A91" s="183" t="s">
        <v>2309</v>
      </c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/>
      <c r="P91"/>
      <c r="Q91"/>
      <c r="R91"/>
    </row>
    <row r="92" spans="1:18" x14ac:dyDescent="0.45">
      <c r="A92" s="177" t="s">
        <v>865</v>
      </c>
      <c r="B92" s="177" t="s">
        <v>831</v>
      </c>
      <c r="C92" s="177" t="s">
        <v>2065</v>
      </c>
      <c r="D92" s="177" t="s">
        <v>866</v>
      </c>
      <c r="E92" s="177"/>
      <c r="F92" s="177" t="s">
        <v>93</v>
      </c>
      <c r="G92" s="177" t="s">
        <v>867</v>
      </c>
      <c r="H92" s="177"/>
      <c r="I92" s="177"/>
      <c r="J92" s="177"/>
      <c r="K92" s="177" t="s">
        <v>596</v>
      </c>
      <c r="L92" s="186" t="s">
        <v>597</v>
      </c>
      <c r="M92" s="177" t="s">
        <v>397</v>
      </c>
      <c r="N92" s="177"/>
      <c r="O92"/>
      <c r="P92"/>
      <c r="Q92"/>
      <c r="R92"/>
    </row>
    <row r="93" spans="1:18" x14ac:dyDescent="0.45">
      <c r="A93" s="177" t="s">
        <v>962</v>
      </c>
      <c r="B93" s="177" t="s">
        <v>831</v>
      </c>
      <c r="C93" s="177" t="s">
        <v>2065</v>
      </c>
      <c r="D93" s="177" t="s">
        <v>963</v>
      </c>
      <c r="E93" s="177"/>
      <c r="F93" s="177" t="s">
        <v>413</v>
      </c>
      <c r="G93" s="177" t="s">
        <v>964</v>
      </c>
      <c r="H93" s="177"/>
      <c r="I93" s="177" t="s">
        <v>965</v>
      </c>
      <c r="J93" s="177">
        <v>2023</v>
      </c>
      <c r="K93" s="177" t="s">
        <v>106</v>
      </c>
      <c r="L93" s="182" t="s">
        <v>107</v>
      </c>
      <c r="M93" s="177"/>
      <c r="N93" s="177" t="s">
        <v>413</v>
      </c>
      <c r="O93"/>
      <c r="P93"/>
      <c r="Q93"/>
      <c r="R93"/>
    </row>
    <row r="94" spans="1:18" x14ac:dyDescent="0.45">
      <c r="A94" s="177" t="s">
        <v>966</v>
      </c>
      <c r="B94" s="177" t="s">
        <v>831</v>
      </c>
      <c r="C94" s="177" t="s">
        <v>2065</v>
      </c>
      <c r="D94" s="177" t="s">
        <v>967</v>
      </c>
      <c r="E94" s="177" t="s">
        <v>968</v>
      </c>
      <c r="F94" s="177" t="s">
        <v>21</v>
      </c>
      <c r="G94" s="177">
        <v>39252</v>
      </c>
      <c r="H94" s="177">
        <v>43312</v>
      </c>
      <c r="I94" s="180">
        <v>42437</v>
      </c>
      <c r="J94" s="177">
        <v>2016</v>
      </c>
      <c r="K94" s="177" t="s">
        <v>232</v>
      </c>
      <c r="L94" s="178" t="s">
        <v>30</v>
      </c>
      <c r="M94" s="177"/>
      <c r="N94" s="177" t="s">
        <v>21</v>
      </c>
      <c r="O94"/>
      <c r="P94"/>
      <c r="Q94"/>
      <c r="R94"/>
    </row>
    <row r="95" spans="1:18" x14ac:dyDescent="0.45">
      <c r="A95" s="177" t="s">
        <v>969</v>
      </c>
      <c r="B95" s="177" t="s">
        <v>831</v>
      </c>
      <c r="C95" s="177" t="s">
        <v>2065</v>
      </c>
      <c r="D95" s="177" t="s">
        <v>970</v>
      </c>
      <c r="E95" s="177"/>
      <c r="F95" s="177" t="s">
        <v>1912</v>
      </c>
      <c r="G95" s="177" t="s">
        <v>971</v>
      </c>
      <c r="H95" s="177" t="s">
        <v>972</v>
      </c>
      <c r="I95" s="177"/>
      <c r="J95" s="177"/>
      <c r="K95" s="177" t="s">
        <v>388</v>
      </c>
      <c r="L95" s="184" t="s">
        <v>61</v>
      </c>
      <c r="M95" s="177" t="s">
        <v>973</v>
      </c>
      <c r="N95" s="177" t="s">
        <v>974</v>
      </c>
      <c r="O95"/>
      <c r="P95"/>
      <c r="Q95"/>
      <c r="R95"/>
    </row>
    <row r="96" spans="1:18" x14ac:dyDescent="0.45">
      <c r="A96" s="177" t="s">
        <v>975</v>
      </c>
      <c r="B96" s="177" t="s">
        <v>831</v>
      </c>
      <c r="C96" s="177" t="s">
        <v>2065</v>
      </c>
      <c r="D96" s="177" t="s">
        <v>976</v>
      </c>
      <c r="E96" s="177"/>
      <c r="F96" s="177" t="s">
        <v>93</v>
      </c>
      <c r="G96" s="177">
        <v>25713</v>
      </c>
      <c r="H96" s="177"/>
      <c r="I96" s="177"/>
      <c r="J96" s="177"/>
      <c r="K96" s="177" t="s">
        <v>396</v>
      </c>
      <c r="L96" s="184" t="s">
        <v>61</v>
      </c>
      <c r="M96" s="177" t="s">
        <v>94</v>
      </c>
      <c r="N96" s="177"/>
      <c r="O96"/>
      <c r="P96"/>
      <c r="Q96"/>
      <c r="R96"/>
    </row>
    <row r="97" spans="1:18" x14ac:dyDescent="0.45">
      <c r="A97" s="177" t="s">
        <v>885</v>
      </c>
      <c r="B97" s="177" t="s">
        <v>831</v>
      </c>
      <c r="C97" s="177" t="s">
        <v>2065</v>
      </c>
      <c r="D97" s="177" t="s">
        <v>886</v>
      </c>
      <c r="E97" s="177"/>
      <c r="F97" s="177" t="s">
        <v>874</v>
      </c>
      <c r="G97" s="177" t="s">
        <v>887</v>
      </c>
      <c r="H97" s="177"/>
      <c r="I97" s="177" t="s">
        <v>888</v>
      </c>
      <c r="J97" s="177">
        <v>2019</v>
      </c>
      <c r="K97" s="177" t="s">
        <v>78</v>
      </c>
      <c r="L97" s="179" t="s">
        <v>79</v>
      </c>
      <c r="M97" s="177"/>
      <c r="N97" s="177" t="s">
        <v>874</v>
      </c>
      <c r="O97"/>
      <c r="P97"/>
      <c r="Q97"/>
      <c r="R97"/>
    </row>
    <row r="98" spans="1:18" x14ac:dyDescent="0.45">
      <c r="A98" s="177" t="s">
        <v>891</v>
      </c>
      <c r="B98" s="177" t="s">
        <v>831</v>
      </c>
      <c r="C98" s="177" t="s">
        <v>2065</v>
      </c>
      <c r="D98" s="177" t="s">
        <v>892</v>
      </c>
      <c r="E98" s="177"/>
      <c r="F98" s="177" t="s">
        <v>1912</v>
      </c>
      <c r="G98" s="177" t="s">
        <v>893</v>
      </c>
      <c r="H98" s="177" t="s">
        <v>894</v>
      </c>
      <c r="I98" s="177"/>
      <c r="J98" s="177"/>
      <c r="K98" s="177" t="s">
        <v>388</v>
      </c>
      <c r="L98" s="184" t="s">
        <v>61</v>
      </c>
      <c r="M98" s="177" t="s">
        <v>834</v>
      </c>
      <c r="N98" s="177" t="s">
        <v>895</v>
      </c>
      <c r="O98"/>
      <c r="P98"/>
      <c r="Q98"/>
      <c r="R98"/>
    </row>
    <row r="99" spans="1:18" x14ac:dyDescent="0.45">
      <c r="A99" s="177" t="s">
        <v>896</v>
      </c>
      <c r="B99" s="177" t="s">
        <v>831</v>
      </c>
      <c r="C99" s="177" t="s">
        <v>2065</v>
      </c>
      <c r="D99" s="177" t="s">
        <v>897</v>
      </c>
      <c r="E99" s="177"/>
      <c r="F99" s="177" t="s">
        <v>93</v>
      </c>
      <c r="G99" s="177">
        <v>26573</v>
      </c>
      <c r="H99" s="177"/>
      <c r="I99" s="177"/>
      <c r="J99" s="177"/>
      <c r="K99" s="177" t="s">
        <v>596</v>
      </c>
      <c r="L99" s="186" t="s">
        <v>597</v>
      </c>
      <c r="M99" s="177" t="s">
        <v>94</v>
      </c>
      <c r="N99" s="177"/>
      <c r="O99"/>
      <c r="P99"/>
      <c r="Q99"/>
      <c r="R99"/>
    </row>
    <row r="100" spans="1:18" x14ac:dyDescent="0.45">
      <c r="A100" s="177" t="s">
        <v>899</v>
      </c>
      <c r="B100" s="177" t="s">
        <v>831</v>
      </c>
      <c r="C100" s="177" t="s">
        <v>2065</v>
      </c>
      <c r="D100" s="177" t="s">
        <v>900</v>
      </c>
      <c r="E100" s="177"/>
      <c r="F100" s="177" t="s">
        <v>76</v>
      </c>
      <c r="G100" s="177" t="s">
        <v>901</v>
      </c>
      <c r="H100" s="177"/>
      <c r="I100" s="177" t="s">
        <v>902</v>
      </c>
      <c r="J100" s="177">
        <v>2022</v>
      </c>
      <c r="K100" s="177" t="s">
        <v>106</v>
      </c>
      <c r="L100" s="182" t="s">
        <v>107</v>
      </c>
      <c r="M100" s="177"/>
      <c r="N100" s="177" t="s">
        <v>76</v>
      </c>
      <c r="O100"/>
      <c r="P100"/>
      <c r="Q100"/>
      <c r="R100"/>
    </row>
    <row r="101" spans="1:18" x14ac:dyDescent="0.45">
      <c r="A101" s="177" t="s">
        <v>978</v>
      </c>
      <c r="B101" s="177" t="s">
        <v>831</v>
      </c>
      <c r="C101" s="177" t="s">
        <v>2065</v>
      </c>
      <c r="D101" s="177" t="s">
        <v>979</v>
      </c>
      <c r="E101" s="177"/>
      <c r="F101" s="177" t="s">
        <v>1912</v>
      </c>
      <c r="G101" s="177" t="s">
        <v>980</v>
      </c>
      <c r="H101" s="177" t="s">
        <v>981</v>
      </c>
      <c r="I101" s="177"/>
      <c r="J101" s="177"/>
      <c r="K101" s="177" t="s">
        <v>388</v>
      </c>
      <c r="L101" s="184" t="s">
        <v>61</v>
      </c>
      <c r="M101" s="177" t="s">
        <v>416</v>
      </c>
      <c r="N101" s="177" t="s">
        <v>982</v>
      </c>
      <c r="O101"/>
      <c r="P101"/>
      <c r="Q101"/>
      <c r="R101"/>
    </row>
    <row r="102" spans="1:18" x14ac:dyDescent="0.45">
      <c r="A102" s="177" t="s">
        <v>1186</v>
      </c>
      <c r="B102" s="177" t="s">
        <v>831</v>
      </c>
      <c r="C102" s="177" t="s">
        <v>2065</v>
      </c>
      <c r="D102" s="177" t="s">
        <v>1187</v>
      </c>
      <c r="E102" s="177"/>
      <c r="F102" s="177" t="s">
        <v>93</v>
      </c>
      <c r="G102" s="177">
        <v>22663</v>
      </c>
      <c r="H102" s="177"/>
      <c r="I102" s="177"/>
      <c r="J102" s="177"/>
      <c r="K102" s="177" t="s">
        <v>596</v>
      </c>
      <c r="L102" s="186" t="s">
        <v>597</v>
      </c>
      <c r="M102" s="177" t="s">
        <v>94</v>
      </c>
      <c r="N102" s="177"/>
      <c r="O102"/>
      <c r="P102"/>
      <c r="Q102"/>
      <c r="R102"/>
    </row>
    <row r="103" spans="1:18" x14ac:dyDescent="0.45">
      <c r="A103" s="177" t="s">
        <v>983</v>
      </c>
      <c r="B103" s="177" t="s">
        <v>831</v>
      </c>
      <c r="C103" s="177" t="s">
        <v>2065</v>
      </c>
      <c r="D103" s="177" t="s">
        <v>984</v>
      </c>
      <c r="E103" s="177"/>
      <c r="F103" s="177" t="s">
        <v>1912</v>
      </c>
      <c r="G103" s="177" t="s">
        <v>985</v>
      </c>
      <c r="H103" s="177" t="s">
        <v>986</v>
      </c>
      <c r="I103" s="177"/>
      <c r="J103" s="177"/>
      <c r="K103" s="177" t="s">
        <v>388</v>
      </c>
      <c r="L103" s="184" t="s">
        <v>61</v>
      </c>
      <c r="M103" s="177" t="s">
        <v>758</v>
      </c>
      <c r="N103" s="177" t="s">
        <v>982</v>
      </c>
      <c r="O103"/>
      <c r="P103"/>
      <c r="Q103"/>
      <c r="R103"/>
    </row>
    <row r="104" spans="1:18" x14ac:dyDescent="0.45">
      <c r="A104" s="177" t="s">
        <v>936</v>
      </c>
      <c r="B104" s="177" t="s">
        <v>831</v>
      </c>
      <c r="C104" s="177" t="s">
        <v>2065</v>
      </c>
      <c r="D104" s="177" t="s">
        <v>937</v>
      </c>
      <c r="E104" s="177"/>
      <c r="F104" s="177" t="s">
        <v>1912</v>
      </c>
      <c r="G104" s="177" t="s">
        <v>938</v>
      </c>
      <c r="H104" s="177" t="s">
        <v>939</v>
      </c>
      <c r="I104" s="177"/>
      <c r="J104" s="177"/>
      <c r="K104" s="177" t="s">
        <v>388</v>
      </c>
      <c r="L104" s="184" t="s">
        <v>61</v>
      </c>
      <c r="M104" s="177" t="s">
        <v>858</v>
      </c>
      <c r="N104" s="177" t="s">
        <v>940</v>
      </c>
      <c r="O104"/>
      <c r="P104"/>
      <c r="Q104"/>
      <c r="R104"/>
    </row>
    <row r="105" spans="1:18" x14ac:dyDescent="0.45">
      <c r="A105" s="177" t="s">
        <v>942</v>
      </c>
      <c r="B105" s="177" t="s">
        <v>831</v>
      </c>
      <c r="C105" s="177" t="s">
        <v>2065</v>
      </c>
      <c r="D105" s="177" t="s">
        <v>943</v>
      </c>
      <c r="E105" s="177"/>
      <c r="F105" s="177" t="s">
        <v>1912</v>
      </c>
      <c r="G105" s="177" t="s">
        <v>944</v>
      </c>
      <c r="H105" s="177" t="s">
        <v>945</v>
      </c>
      <c r="I105" s="177"/>
      <c r="J105" s="177"/>
      <c r="K105" s="177" t="s">
        <v>302</v>
      </c>
      <c r="L105" s="185" t="s">
        <v>280</v>
      </c>
      <c r="M105" s="177" t="s">
        <v>858</v>
      </c>
      <c r="N105" s="177" t="s">
        <v>946</v>
      </c>
      <c r="O105"/>
      <c r="P105"/>
      <c r="Q105"/>
      <c r="R105"/>
    </row>
    <row r="106" spans="1:18" x14ac:dyDescent="0.45">
      <c r="A106" s="177" t="s">
        <v>947</v>
      </c>
      <c r="B106" s="177" t="s">
        <v>831</v>
      </c>
      <c r="C106" s="177" t="s">
        <v>2065</v>
      </c>
      <c r="D106" s="177" t="s">
        <v>948</v>
      </c>
      <c r="E106" s="177"/>
      <c r="F106" s="177" t="s">
        <v>1912</v>
      </c>
      <c r="G106" s="177" t="s">
        <v>949</v>
      </c>
      <c r="H106" s="177" t="s">
        <v>950</v>
      </c>
      <c r="I106" s="177"/>
      <c r="J106" s="177"/>
      <c r="K106" s="177" t="s">
        <v>951</v>
      </c>
      <c r="L106" s="182" t="s">
        <v>107</v>
      </c>
      <c r="M106" s="177" t="s">
        <v>952</v>
      </c>
      <c r="N106" s="177" t="s">
        <v>946</v>
      </c>
      <c r="O106"/>
      <c r="P106"/>
      <c r="Q106"/>
      <c r="R106"/>
    </row>
    <row r="107" spans="1:18" x14ac:dyDescent="0.45">
      <c r="A107" s="177" t="s">
        <v>953</v>
      </c>
      <c r="B107" s="177" t="s">
        <v>831</v>
      </c>
      <c r="C107" s="177" t="s">
        <v>2065</v>
      </c>
      <c r="D107" s="177" t="s">
        <v>954</v>
      </c>
      <c r="E107" s="177"/>
      <c r="F107" s="177" t="s">
        <v>1912</v>
      </c>
      <c r="G107" s="177" t="s">
        <v>955</v>
      </c>
      <c r="H107" s="177" t="s">
        <v>956</v>
      </c>
      <c r="I107" s="177"/>
      <c r="J107" s="177"/>
      <c r="K107" s="177" t="s">
        <v>302</v>
      </c>
      <c r="L107" s="185" t="s">
        <v>280</v>
      </c>
      <c r="M107" s="177" t="s">
        <v>858</v>
      </c>
      <c r="N107" s="177" t="s">
        <v>957</v>
      </c>
      <c r="O107"/>
      <c r="P107"/>
      <c r="Q107"/>
      <c r="R107"/>
    </row>
    <row r="108" spans="1:18" x14ac:dyDescent="0.45">
      <c r="A108" s="177" t="s">
        <v>958</v>
      </c>
      <c r="B108" s="177" t="s">
        <v>831</v>
      </c>
      <c r="C108" s="177" t="s">
        <v>2065</v>
      </c>
      <c r="D108" s="177" t="s">
        <v>959</v>
      </c>
      <c r="E108" s="177"/>
      <c r="F108" s="177" t="s">
        <v>1912</v>
      </c>
      <c r="G108" s="177" t="s">
        <v>960</v>
      </c>
      <c r="H108" s="177" t="s">
        <v>961</v>
      </c>
      <c r="I108" s="177"/>
      <c r="J108" s="177"/>
      <c r="K108" s="177" t="s">
        <v>302</v>
      </c>
      <c r="L108" s="185" t="s">
        <v>280</v>
      </c>
      <c r="M108" s="177" t="s">
        <v>858</v>
      </c>
      <c r="N108" s="177" t="s">
        <v>957</v>
      </c>
      <c r="O108"/>
      <c r="P108"/>
      <c r="Q108"/>
      <c r="R108"/>
    </row>
    <row r="109" spans="1:18" x14ac:dyDescent="0.45">
      <c r="A109" s="183" t="s">
        <v>2310</v>
      </c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/>
      <c r="P109"/>
      <c r="Q109"/>
      <c r="R109"/>
    </row>
    <row r="110" spans="1:18" x14ac:dyDescent="0.45">
      <c r="A110" s="177" t="s">
        <v>1121</v>
      </c>
      <c r="B110" s="177" t="s">
        <v>831</v>
      </c>
      <c r="C110" s="177" t="s">
        <v>2071</v>
      </c>
      <c r="D110" s="177" t="s">
        <v>1122</v>
      </c>
      <c r="E110" s="177"/>
      <c r="F110" s="177" t="s">
        <v>1912</v>
      </c>
      <c r="G110" s="177" t="s">
        <v>1123</v>
      </c>
      <c r="H110" s="177" t="s">
        <v>1124</v>
      </c>
      <c r="I110" s="177"/>
      <c r="J110" s="177"/>
      <c r="K110" s="177" t="s">
        <v>388</v>
      </c>
      <c r="L110" s="184" t="s">
        <v>61</v>
      </c>
      <c r="M110" s="177" t="s">
        <v>416</v>
      </c>
      <c r="N110" s="177" t="s">
        <v>1125</v>
      </c>
      <c r="O110"/>
      <c r="P110"/>
      <c r="Q110"/>
      <c r="R110"/>
    </row>
    <row r="111" spans="1:18" x14ac:dyDescent="0.45">
      <c r="A111" s="177" t="s">
        <v>1126</v>
      </c>
      <c r="B111" s="177" t="s">
        <v>831</v>
      </c>
      <c r="C111" s="177" t="s">
        <v>2071</v>
      </c>
      <c r="D111" s="177" t="s">
        <v>1127</v>
      </c>
      <c r="E111" s="177"/>
      <c r="F111" s="177" t="s">
        <v>1912</v>
      </c>
      <c r="G111" s="177" t="s">
        <v>1128</v>
      </c>
      <c r="H111" s="177" t="s">
        <v>1129</v>
      </c>
      <c r="I111" s="177"/>
      <c r="J111" s="177"/>
      <c r="K111" s="177" t="s">
        <v>388</v>
      </c>
      <c r="L111" s="184" t="s">
        <v>61</v>
      </c>
      <c r="M111" s="177" t="s">
        <v>758</v>
      </c>
      <c r="N111" s="177" t="s">
        <v>840</v>
      </c>
      <c r="O111"/>
      <c r="P111"/>
      <c r="Q111"/>
      <c r="R111"/>
    </row>
    <row r="112" spans="1:18" x14ac:dyDescent="0.45">
      <c r="A112" s="177" t="s">
        <v>1167</v>
      </c>
      <c r="B112" s="177" t="s">
        <v>831</v>
      </c>
      <c r="C112" s="177" t="s">
        <v>2071</v>
      </c>
      <c r="D112" s="177" t="s">
        <v>1168</v>
      </c>
      <c r="E112" s="177"/>
      <c r="F112" s="177" t="s">
        <v>1912</v>
      </c>
      <c r="G112" s="177" t="s">
        <v>1169</v>
      </c>
      <c r="H112" s="177" t="s">
        <v>1170</v>
      </c>
      <c r="I112" s="177"/>
      <c r="J112" s="177"/>
      <c r="K112" s="177" t="s">
        <v>388</v>
      </c>
      <c r="L112" s="184" t="s">
        <v>61</v>
      </c>
      <c r="M112" s="177" t="s">
        <v>1171</v>
      </c>
      <c r="N112" s="177" t="s">
        <v>974</v>
      </c>
      <c r="O112"/>
      <c r="P112"/>
      <c r="Q112"/>
      <c r="R112"/>
    </row>
    <row r="113" spans="1:18" x14ac:dyDescent="0.45">
      <c r="A113" s="177" t="s">
        <v>1230</v>
      </c>
      <c r="B113" s="177" t="s">
        <v>831</v>
      </c>
      <c r="C113" s="177" t="s">
        <v>2071</v>
      </c>
      <c r="D113" s="177" t="s">
        <v>1231</v>
      </c>
      <c r="E113" s="177"/>
      <c r="F113" s="177" t="s">
        <v>93</v>
      </c>
      <c r="G113" s="177" t="s">
        <v>1232</v>
      </c>
      <c r="H113" s="177" t="s">
        <v>1233</v>
      </c>
      <c r="I113" s="177"/>
      <c r="J113" s="177"/>
      <c r="K113" s="177" t="s">
        <v>1234</v>
      </c>
      <c r="L113" s="184" t="s">
        <v>61</v>
      </c>
      <c r="M113" s="177" t="s">
        <v>1235</v>
      </c>
      <c r="N113" s="177" t="s">
        <v>1236</v>
      </c>
      <c r="O113"/>
      <c r="P113"/>
      <c r="Q113"/>
      <c r="R113"/>
    </row>
    <row r="114" spans="1:18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4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4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4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4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4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4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4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4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4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4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4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4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4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4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4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4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4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4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4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4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4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4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4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4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4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4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4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4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4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4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4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4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4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4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4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4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4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4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4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4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4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4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4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4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4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4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4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4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4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4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4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4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4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4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4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4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4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4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4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4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4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4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4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4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4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4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4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4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4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4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4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4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4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4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4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4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4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4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4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4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4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4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4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4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4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4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4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4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4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4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4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4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4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4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4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4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4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4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4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4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4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4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4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4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4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4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4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4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4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4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4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4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4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4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4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4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4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4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4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4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4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4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4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4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4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4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4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4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4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4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4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4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4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4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4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4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4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4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4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4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4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4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4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4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4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4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4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4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4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4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4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4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4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4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4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4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4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4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4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4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4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4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4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4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4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4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4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4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4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4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4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4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4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4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4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4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4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4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4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00"/>
  <sheetViews>
    <sheetView showGridLines="0" zoomScale="51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5" style="19" bestFit="1" customWidth="1"/>
    <col min="2" max="2" width="52.453125" style="19" bestFit="1" customWidth="1"/>
    <col min="3" max="3" width="68" style="19" bestFit="1" customWidth="1"/>
    <col min="4" max="4" width="237.6328125" style="19" bestFit="1" customWidth="1"/>
    <col min="5" max="5" width="155.6328125" style="19" bestFit="1" customWidth="1"/>
    <col min="6" max="6" width="36.81640625" style="19" bestFit="1" customWidth="1"/>
    <col min="7" max="7" width="33.36328125" style="19" bestFit="1" customWidth="1"/>
    <col min="8" max="8" width="91.08984375" style="19" bestFit="1" customWidth="1"/>
    <col min="9" max="9" width="19.453125" style="19" bestFit="1" customWidth="1"/>
    <col min="10" max="10" width="9.54296875" style="19" bestFit="1" customWidth="1"/>
    <col min="11" max="11" width="35.54296875" style="19" bestFit="1" customWidth="1"/>
    <col min="12" max="12" width="31.6328125" style="19" bestFit="1" customWidth="1"/>
    <col min="13" max="13" width="33.1796875" style="19" bestFit="1" customWidth="1"/>
    <col min="14" max="14" width="93.54296875" style="19" bestFit="1" customWidth="1"/>
    <col min="15" max="15" width="8.08984375" style="19" bestFit="1" customWidth="1"/>
    <col min="16" max="16" width="16" style="19" bestFit="1" customWidth="1"/>
    <col min="17" max="17" width="55.1796875" style="19" bestFit="1" customWidth="1"/>
    <col min="18" max="18" width="50.54296875" style="19" bestFit="1" customWidth="1"/>
    <col min="19" max="16384" width="8.90625" style="19"/>
  </cols>
  <sheetData>
    <row r="1" spans="1:18" x14ac:dyDescent="0.35">
      <c r="A1" s="286" t="s">
        <v>1753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89" t="s">
        <v>2311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/>
      <c r="P3"/>
      <c r="Q3"/>
      <c r="R3"/>
    </row>
    <row r="4" spans="1:18" x14ac:dyDescent="0.35">
      <c r="A4" s="177" t="s">
        <v>1355</v>
      </c>
      <c r="B4" s="177" t="s">
        <v>1274</v>
      </c>
      <c r="C4" s="177" t="s">
        <v>2073</v>
      </c>
      <c r="D4" s="177" t="s">
        <v>1356</v>
      </c>
      <c r="E4" s="177" t="s">
        <v>1357</v>
      </c>
      <c r="F4" s="177" t="s">
        <v>21</v>
      </c>
      <c r="G4" s="177">
        <v>37511</v>
      </c>
      <c r="H4" s="177">
        <v>37511</v>
      </c>
      <c r="I4" s="180">
        <v>41954</v>
      </c>
      <c r="J4" s="177">
        <v>2014</v>
      </c>
      <c r="K4" s="177" t="s">
        <v>272</v>
      </c>
      <c r="L4" s="184" t="s">
        <v>273</v>
      </c>
      <c r="M4" s="177"/>
      <c r="N4" s="177" t="s">
        <v>21</v>
      </c>
      <c r="O4"/>
      <c r="P4"/>
      <c r="Q4"/>
      <c r="R4"/>
    </row>
    <row r="5" spans="1:18" x14ac:dyDescent="0.35">
      <c r="A5" s="177" t="s">
        <v>1420</v>
      </c>
      <c r="B5" s="177" t="s">
        <v>1274</v>
      </c>
      <c r="C5" s="177" t="s">
        <v>2073</v>
      </c>
      <c r="D5" s="177" t="s">
        <v>1421</v>
      </c>
      <c r="E5" s="177"/>
      <c r="F5" s="177" t="s">
        <v>1019</v>
      </c>
      <c r="G5" s="177">
        <v>72904</v>
      </c>
      <c r="H5" s="177"/>
      <c r="I5" s="177" t="s">
        <v>1422</v>
      </c>
      <c r="J5" s="177">
        <v>2025</v>
      </c>
      <c r="K5" s="177" t="s">
        <v>78</v>
      </c>
      <c r="L5" s="179" t="s">
        <v>79</v>
      </c>
      <c r="M5" s="177"/>
      <c r="N5" s="177" t="s">
        <v>1019</v>
      </c>
      <c r="O5"/>
      <c r="P5"/>
      <c r="Q5"/>
      <c r="R5"/>
    </row>
    <row r="6" spans="1:18" x14ac:dyDescent="0.35">
      <c r="A6" s="177" t="s">
        <v>1358</v>
      </c>
      <c r="B6" s="177" t="s">
        <v>1274</v>
      </c>
      <c r="C6" s="177" t="s">
        <v>2073</v>
      </c>
      <c r="D6" s="177" t="s">
        <v>1359</v>
      </c>
      <c r="E6" s="177" t="s">
        <v>1360</v>
      </c>
      <c r="F6" s="177" t="s">
        <v>21</v>
      </c>
      <c r="G6" s="177">
        <v>38764</v>
      </c>
      <c r="H6" s="177">
        <v>38764</v>
      </c>
      <c r="I6" s="177" t="s">
        <v>186</v>
      </c>
      <c r="J6" s="177">
        <v>2015</v>
      </c>
      <c r="K6" s="177" t="s">
        <v>187</v>
      </c>
      <c r="L6" s="178" t="s">
        <v>30</v>
      </c>
      <c r="M6" s="177"/>
      <c r="N6" s="177" t="s">
        <v>21</v>
      </c>
      <c r="O6"/>
      <c r="P6"/>
      <c r="Q6"/>
      <c r="R6"/>
    </row>
    <row r="7" spans="1:18" x14ac:dyDescent="0.35">
      <c r="A7" s="177" t="s">
        <v>1426</v>
      </c>
      <c r="B7" s="177" t="s">
        <v>1274</v>
      </c>
      <c r="C7" s="177" t="s">
        <v>2073</v>
      </c>
      <c r="D7" s="177" t="s">
        <v>1427</v>
      </c>
      <c r="E7" s="177"/>
      <c r="F7" s="177" t="s">
        <v>874</v>
      </c>
      <c r="G7" s="177">
        <v>74117</v>
      </c>
      <c r="H7" s="177"/>
      <c r="I7" s="180">
        <v>46055</v>
      </c>
      <c r="J7" s="177">
        <v>2026</v>
      </c>
      <c r="K7" s="177" t="s">
        <v>78</v>
      </c>
      <c r="L7" s="179" t="s">
        <v>79</v>
      </c>
      <c r="M7" s="177"/>
      <c r="N7" s="177" t="s">
        <v>874</v>
      </c>
      <c r="O7"/>
      <c r="P7"/>
      <c r="Q7"/>
      <c r="R7"/>
    </row>
    <row r="8" spans="1:18" x14ac:dyDescent="0.35">
      <c r="A8" s="177" t="s">
        <v>1361</v>
      </c>
      <c r="B8" s="177" t="s">
        <v>1274</v>
      </c>
      <c r="C8" s="177" t="s">
        <v>2073</v>
      </c>
      <c r="D8" s="177" t="s">
        <v>1362</v>
      </c>
      <c r="E8" s="177" t="s">
        <v>1363</v>
      </c>
      <c r="F8" s="177" t="s">
        <v>21</v>
      </c>
      <c r="G8" s="177">
        <v>38726</v>
      </c>
      <c r="H8" s="177"/>
      <c r="I8" s="177" t="s">
        <v>199</v>
      </c>
      <c r="J8" s="177">
        <v>2015</v>
      </c>
      <c r="K8" s="177"/>
      <c r="L8" s="181" t="s">
        <v>23</v>
      </c>
      <c r="M8" s="177"/>
      <c r="N8" s="177" t="s">
        <v>21</v>
      </c>
      <c r="O8"/>
      <c r="P8"/>
      <c r="Q8"/>
      <c r="R8"/>
    </row>
    <row r="9" spans="1:18" x14ac:dyDescent="0.35">
      <c r="A9" s="177" t="s">
        <v>1428</v>
      </c>
      <c r="B9" s="177" t="s">
        <v>1274</v>
      </c>
      <c r="C9" s="177" t="s">
        <v>2073</v>
      </c>
      <c r="D9" s="177" t="s">
        <v>1429</v>
      </c>
      <c r="E9" s="177" t="s">
        <v>1430</v>
      </c>
      <c r="F9" s="177" t="s">
        <v>21</v>
      </c>
      <c r="G9" s="177">
        <v>37165</v>
      </c>
      <c r="H9" s="177">
        <v>37165</v>
      </c>
      <c r="I9" s="177" t="s">
        <v>729</v>
      </c>
      <c r="J9" s="177">
        <v>2014</v>
      </c>
      <c r="K9" s="177" t="s">
        <v>155</v>
      </c>
      <c r="L9" s="178" t="s">
        <v>30</v>
      </c>
      <c r="M9" s="177"/>
      <c r="N9" s="177" t="s">
        <v>21</v>
      </c>
      <c r="O9"/>
      <c r="P9"/>
      <c r="Q9"/>
      <c r="R9"/>
    </row>
    <row r="10" spans="1:18" x14ac:dyDescent="0.35">
      <c r="A10" s="177" t="s">
        <v>1364</v>
      </c>
      <c r="B10" s="177" t="s">
        <v>1274</v>
      </c>
      <c r="C10" s="177" t="s">
        <v>2073</v>
      </c>
      <c r="D10" s="177" t="s">
        <v>1365</v>
      </c>
      <c r="E10" s="177" t="s">
        <v>1366</v>
      </c>
      <c r="F10" s="177" t="s">
        <v>21</v>
      </c>
      <c r="G10" s="177">
        <v>36634</v>
      </c>
      <c r="H10" s="177">
        <v>36634</v>
      </c>
      <c r="I10" s="177" t="s">
        <v>1087</v>
      </c>
      <c r="J10" s="177">
        <v>2013</v>
      </c>
      <c r="K10" s="177" t="s">
        <v>203</v>
      </c>
      <c r="L10" s="178" t="s">
        <v>30</v>
      </c>
      <c r="M10" s="177"/>
      <c r="N10" s="177" t="s">
        <v>21</v>
      </c>
      <c r="O10"/>
      <c r="P10"/>
      <c r="Q10"/>
      <c r="R10"/>
    </row>
    <row r="11" spans="1:18" x14ac:dyDescent="0.35">
      <c r="A11" s="177" t="s">
        <v>1397</v>
      </c>
      <c r="B11" s="177" t="s">
        <v>1274</v>
      </c>
      <c r="C11" s="177" t="s">
        <v>2073</v>
      </c>
      <c r="D11" s="177" t="s">
        <v>1398</v>
      </c>
      <c r="E11" s="177"/>
      <c r="F11" s="177" t="s">
        <v>874</v>
      </c>
      <c r="G11" s="177">
        <v>71489</v>
      </c>
      <c r="H11" s="177"/>
      <c r="I11" s="177" t="s">
        <v>1399</v>
      </c>
      <c r="J11" s="177">
        <v>2025</v>
      </c>
      <c r="K11" s="177" t="s">
        <v>78</v>
      </c>
      <c r="L11" s="179" t="s">
        <v>79</v>
      </c>
      <c r="M11" s="177"/>
      <c r="N11" s="177" t="s">
        <v>874</v>
      </c>
      <c r="O11"/>
      <c r="P11"/>
      <c r="Q11"/>
      <c r="R11"/>
    </row>
    <row r="12" spans="1:18" x14ac:dyDescent="0.35">
      <c r="A12" s="177" t="s">
        <v>1434</v>
      </c>
      <c r="B12" s="177" t="s">
        <v>1274</v>
      </c>
      <c r="C12" s="177" t="s">
        <v>2073</v>
      </c>
      <c r="D12" s="177" t="s">
        <v>1435</v>
      </c>
      <c r="E12" s="177"/>
      <c r="F12" s="177" t="s">
        <v>874</v>
      </c>
      <c r="G12" s="177">
        <v>74003</v>
      </c>
      <c r="H12" s="177"/>
      <c r="I12" s="177" t="s">
        <v>1436</v>
      </c>
      <c r="J12" s="177">
        <v>2026</v>
      </c>
      <c r="K12" s="177" t="s">
        <v>78</v>
      </c>
      <c r="L12" s="179" t="s">
        <v>79</v>
      </c>
      <c r="M12" s="177"/>
      <c r="N12" s="177" t="s">
        <v>874</v>
      </c>
      <c r="O12"/>
      <c r="P12"/>
      <c r="Q12"/>
      <c r="R12"/>
    </row>
    <row r="13" spans="1:18" x14ac:dyDescent="0.35">
      <c r="A13" s="177" t="s">
        <v>1367</v>
      </c>
      <c r="B13" s="177" t="s">
        <v>1274</v>
      </c>
      <c r="C13" s="177" t="s">
        <v>2073</v>
      </c>
      <c r="D13" s="177" t="s">
        <v>1368</v>
      </c>
      <c r="E13" s="177" t="s">
        <v>1369</v>
      </c>
      <c r="F13" s="177" t="s">
        <v>21</v>
      </c>
      <c r="G13" s="177">
        <v>56287</v>
      </c>
      <c r="H13" s="177"/>
      <c r="I13" s="180">
        <v>44655</v>
      </c>
      <c r="J13" s="177">
        <v>2022</v>
      </c>
      <c r="K13" s="177"/>
      <c r="L13" s="181" t="s">
        <v>23</v>
      </c>
      <c r="M13" s="177"/>
      <c r="N13" s="177" t="s">
        <v>1370</v>
      </c>
      <c r="O13"/>
      <c r="P13"/>
      <c r="Q13"/>
      <c r="R13"/>
    </row>
    <row r="14" spans="1:18" x14ac:dyDescent="0.35">
      <c r="A14" s="177" t="s">
        <v>1437</v>
      </c>
      <c r="B14" s="177" t="s">
        <v>1274</v>
      </c>
      <c r="C14" s="177" t="s">
        <v>2073</v>
      </c>
      <c r="D14" s="177" t="s">
        <v>1438</v>
      </c>
      <c r="E14" s="177" t="s">
        <v>1439</v>
      </c>
      <c r="F14" s="177" t="s">
        <v>21</v>
      </c>
      <c r="G14" s="177">
        <v>57559</v>
      </c>
      <c r="H14" s="177"/>
      <c r="I14" s="180">
        <v>44689</v>
      </c>
      <c r="J14" s="177">
        <v>2022</v>
      </c>
      <c r="K14" s="177"/>
      <c r="L14" s="181" t="s">
        <v>23</v>
      </c>
      <c r="M14" s="177"/>
      <c r="N14" s="177" t="s">
        <v>21</v>
      </c>
      <c r="O14"/>
      <c r="P14"/>
      <c r="Q14"/>
      <c r="R14"/>
    </row>
    <row r="15" spans="1:18" x14ac:dyDescent="0.35">
      <c r="A15" s="177" t="s">
        <v>1400</v>
      </c>
      <c r="B15" s="177" t="s">
        <v>1274</v>
      </c>
      <c r="C15" s="177" t="s">
        <v>2073</v>
      </c>
      <c r="D15" s="177" t="s">
        <v>1401</v>
      </c>
      <c r="E15" s="177"/>
      <c r="F15" s="177" t="s">
        <v>874</v>
      </c>
      <c r="G15" s="177" t="s">
        <v>1402</v>
      </c>
      <c r="H15" s="177"/>
      <c r="I15" s="180">
        <v>44781</v>
      </c>
      <c r="J15" s="177">
        <v>2022</v>
      </c>
      <c r="K15" s="177" t="s">
        <v>78</v>
      </c>
      <c r="L15" s="179" t="s">
        <v>79</v>
      </c>
      <c r="M15" s="177"/>
      <c r="N15" s="177" t="s">
        <v>874</v>
      </c>
      <c r="O15"/>
      <c r="P15"/>
      <c r="Q15"/>
      <c r="R15"/>
    </row>
    <row r="16" spans="1:18" x14ac:dyDescent="0.35">
      <c r="A16" s="177" t="s">
        <v>1371</v>
      </c>
      <c r="B16" s="177" t="s">
        <v>1274</v>
      </c>
      <c r="C16" s="177" t="s">
        <v>2073</v>
      </c>
      <c r="D16" s="177" t="s">
        <v>1372</v>
      </c>
      <c r="E16" s="177" t="s">
        <v>1373</v>
      </c>
      <c r="F16" s="177" t="s">
        <v>21</v>
      </c>
      <c r="G16" s="177">
        <v>35851</v>
      </c>
      <c r="H16" s="177">
        <v>35688</v>
      </c>
      <c r="I16" s="177" t="s">
        <v>1374</v>
      </c>
      <c r="J16" s="177">
        <v>2013</v>
      </c>
      <c r="K16" s="177">
        <v>11</v>
      </c>
      <c r="L16" s="188" t="s">
        <v>1048</v>
      </c>
      <c r="M16" s="177"/>
      <c r="N16" s="177" t="s">
        <v>21</v>
      </c>
      <c r="O16"/>
      <c r="P16"/>
      <c r="Q16"/>
      <c r="R16"/>
    </row>
    <row r="17" spans="1:18" x14ac:dyDescent="0.35">
      <c r="A17" s="183" t="s">
        <v>2312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/>
      <c r="P17"/>
      <c r="Q17"/>
      <c r="R17"/>
    </row>
    <row r="18" spans="1:18" x14ac:dyDescent="0.35">
      <c r="A18" s="177" t="s">
        <v>1446</v>
      </c>
      <c r="B18" s="177" t="s">
        <v>1274</v>
      </c>
      <c r="C18" s="177" t="s">
        <v>2090</v>
      </c>
      <c r="D18" s="177" t="s">
        <v>1447</v>
      </c>
      <c r="E18" s="177"/>
      <c r="F18" s="177" t="s">
        <v>413</v>
      </c>
      <c r="G18" s="177">
        <v>68135</v>
      </c>
      <c r="H18" s="177"/>
      <c r="I18" s="177" t="s">
        <v>1448</v>
      </c>
      <c r="J18" s="177">
        <v>2024</v>
      </c>
      <c r="K18" s="177" t="s">
        <v>78</v>
      </c>
      <c r="L18" s="179" t="s">
        <v>79</v>
      </c>
      <c r="M18" s="177"/>
      <c r="N18" s="177" t="s">
        <v>413</v>
      </c>
      <c r="O18"/>
      <c r="P18"/>
      <c r="Q18"/>
      <c r="R18"/>
    </row>
    <row r="19" spans="1:18" x14ac:dyDescent="0.35">
      <c r="A19" s="177" t="s">
        <v>1417</v>
      </c>
      <c r="B19" s="177" t="s">
        <v>1274</v>
      </c>
      <c r="C19" s="177" t="s">
        <v>2090</v>
      </c>
      <c r="D19" s="177" t="s">
        <v>1418</v>
      </c>
      <c r="E19" s="177"/>
      <c r="F19" s="177" t="s">
        <v>874</v>
      </c>
      <c r="G19" s="177" t="s">
        <v>1419</v>
      </c>
      <c r="H19" s="177"/>
      <c r="I19" s="180">
        <v>45080</v>
      </c>
      <c r="J19" s="177">
        <v>2023</v>
      </c>
      <c r="K19" s="177" t="s">
        <v>106</v>
      </c>
      <c r="L19" s="182" t="s">
        <v>107</v>
      </c>
      <c r="M19" s="177"/>
      <c r="N19" s="177" t="s">
        <v>874</v>
      </c>
      <c r="O19"/>
      <c r="P19"/>
      <c r="Q19"/>
      <c r="R19"/>
    </row>
    <row r="20" spans="1:18" x14ac:dyDescent="0.35">
      <c r="A20" s="183" t="s">
        <v>2313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/>
      <c r="P20"/>
      <c r="Q20"/>
      <c r="R20"/>
    </row>
    <row r="21" spans="1:18" x14ac:dyDescent="0.35">
      <c r="A21" s="177" t="s">
        <v>1375</v>
      </c>
      <c r="B21" s="177" t="s">
        <v>1274</v>
      </c>
      <c r="C21" s="177" t="s">
        <v>2093</v>
      </c>
      <c r="D21" s="177" t="s">
        <v>1376</v>
      </c>
      <c r="E21" s="177" t="s">
        <v>267</v>
      </c>
      <c r="F21" s="177" t="s">
        <v>21</v>
      </c>
      <c r="G21" s="177" t="s">
        <v>1377</v>
      </c>
      <c r="H21" s="177">
        <v>36966</v>
      </c>
      <c r="I21" s="177" t="s">
        <v>268</v>
      </c>
      <c r="J21" s="177">
        <v>2014</v>
      </c>
      <c r="K21" s="177" t="s">
        <v>1378</v>
      </c>
      <c r="L21" s="178" t="s">
        <v>30</v>
      </c>
      <c r="M21" s="177" t="s">
        <v>94</v>
      </c>
      <c r="N21" s="177" t="s">
        <v>21</v>
      </c>
      <c r="O21"/>
      <c r="P21"/>
      <c r="Q21"/>
      <c r="R21"/>
    </row>
    <row r="22" spans="1:18" x14ac:dyDescent="0.35">
      <c r="A22" s="177" t="s">
        <v>1379</v>
      </c>
      <c r="B22" s="177" t="s">
        <v>1274</v>
      </c>
      <c r="C22" s="177" t="s">
        <v>2093</v>
      </c>
      <c r="D22" s="177" t="s">
        <v>1380</v>
      </c>
      <c r="E22" s="177"/>
      <c r="F22" s="177" t="s">
        <v>874</v>
      </c>
      <c r="G22" s="177" t="s">
        <v>1381</v>
      </c>
      <c r="H22" s="177"/>
      <c r="I22" s="177" t="s">
        <v>1382</v>
      </c>
      <c r="J22" s="177">
        <v>2023</v>
      </c>
      <c r="K22" s="177" t="s">
        <v>78</v>
      </c>
      <c r="L22" s="179" t="s">
        <v>79</v>
      </c>
      <c r="M22" s="177"/>
      <c r="N22" s="177" t="s">
        <v>874</v>
      </c>
      <c r="O22"/>
      <c r="P22"/>
      <c r="Q22"/>
      <c r="R22"/>
    </row>
    <row r="23" spans="1:18" x14ac:dyDescent="0.35">
      <c r="A23" s="177" t="s">
        <v>1384</v>
      </c>
      <c r="B23" s="177" t="s">
        <v>1274</v>
      </c>
      <c r="C23" s="177" t="s">
        <v>2093</v>
      </c>
      <c r="D23" s="177" t="s">
        <v>1385</v>
      </c>
      <c r="E23" s="177" t="s">
        <v>1386</v>
      </c>
      <c r="F23" s="177" t="s">
        <v>21</v>
      </c>
      <c r="G23" s="177">
        <v>37354</v>
      </c>
      <c r="H23" s="177">
        <v>37354</v>
      </c>
      <c r="I23" s="177" t="s">
        <v>1387</v>
      </c>
      <c r="J23" s="177">
        <v>2014</v>
      </c>
      <c r="K23" s="177" t="s">
        <v>155</v>
      </c>
      <c r="L23" s="178" t="s">
        <v>30</v>
      </c>
      <c r="M23" s="177"/>
      <c r="N23" s="177" t="s">
        <v>21</v>
      </c>
      <c r="O23"/>
      <c r="P23"/>
      <c r="Q23"/>
      <c r="R23"/>
    </row>
    <row r="24" spans="1:18" x14ac:dyDescent="0.35">
      <c r="A24" s="177" t="s">
        <v>1388</v>
      </c>
      <c r="B24" s="177" t="s">
        <v>1274</v>
      </c>
      <c r="C24" s="177" t="s">
        <v>2093</v>
      </c>
      <c r="D24" s="177" t="s">
        <v>1389</v>
      </c>
      <c r="E24" s="177" t="s">
        <v>1390</v>
      </c>
      <c r="F24" s="177" t="s">
        <v>21</v>
      </c>
      <c r="G24" s="177">
        <v>44364</v>
      </c>
      <c r="H24" s="177"/>
      <c r="I24" s="177" t="s">
        <v>116</v>
      </c>
      <c r="J24" s="177">
        <v>2018</v>
      </c>
      <c r="K24" s="177"/>
      <c r="L24" s="181" t="s">
        <v>23</v>
      </c>
      <c r="M24" s="177"/>
      <c r="N24" s="177" t="s">
        <v>21</v>
      </c>
      <c r="O24"/>
      <c r="P24"/>
      <c r="Q24"/>
      <c r="R24"/>
    </row>
    <row r="25" spans="1:18" x14ac:dyDescent="0.35">
      <c r="A25" s="177" t="s">
        <v>1391</v>
      </c>
      <c r="B25" s="177" t="s">
        <v>1274</v>
      </c>
      <c r="C25" s="177" t="s">
        <v>2093</v>
      </c>
      <c r="D25" s="177" t="s">
        <v>1392</v>
      </c>
      <c r="E25" s="177" t="s">
        <v>1393</v>
      </c>
      <c r="F25" s="177" t="s">
        <v>21</v>
      </c>
      <c r="G25" s="177">
        <v>51958</v>
      </c>
      <c r="H25" s="177"/>
      <c r="I25" s="177" t="s">
        <v>149</v>
      </c>
      <c r="J25" s="177">
        <v>2020</v>
      </c>
      <c r="K25" s="177" t="s">
        <v>150</v>
      </c>
      <c r="L25" s="178" t="s">
        <v>30</v>
      </c>
      <c r="M25" s="177"/>
      <c r="N25" s="177" t="s">
        <v>21</v>
      </c>
      <c r="O25"/>
      <c r="P25"/>
      <c r="Q25"/>
      <c r="R25"/>
    </row>
    <row r="26" spans="1:18" x14ac:dyDescent="0.35">
      <c r="A26" s="177" t="s">
        <v>1404</v>
      </c>
      <c r="B26" s="177" t="s">
        <v>1274</v>
      </c>
      <c r="C26" s="177" t="s">
        <v>2093</v>
      </c>
      <c r="D26" s="177" t="s">
        <v>1405</v>
      </c>
      <c r="E26" s="177" t="s">
        <v>1406</v>
      </c>
      <c r="F26" s="177" t="s">
        <v>21</v>
      </c>
      <c r="G26" s="177">
        <v>39643</v>
      </c>
      <c r="H26" s="177"/>
      <c r="I26" s="177" t="s">
        <v>463</v>
      </c>
      <c r="J26" s="177">
        <v>2016</v>
      </c>
      <c r="K26" s="177" t="s">
        <v>1407</v>
      </c>
      <c r="L26" s="178" t="s">
        <v>30</v>
      </c>
      <c r="M26" s="177"/>
      <c r="N26" s="177" t="s">
        <v>21</v>
      </c>
      <c r="O26"/>
      <c r="P26"/>
      <c r="Q26"/>
      <c r="R26"/>
    </row>
    <row r="27" spans="1:18" x14ac:dyDescent="0.35">
      <c r="A27" s="177" t="s">
        <v>1408</v>
      </c>
      <c r="B27" s="177" t="s">
        <v>1274</v>
      </c>
      <c r="C27" s="177" t="s">
        <v>2093</v>
      </c>
      <c r="D27" s="177" t="s">
        <v>1409</v>
      </c>
      <c r="E27" s="177" t="s">
        <v>1410</v>
      </c>
      <c r="F27" s="177" t="s">
        <v>21</v>
      </c>
      <c r="G27" s="177">
        <v>41473</v>
      </c>
      <c r="H27" s="177">
        <v>41473</v>
      </c>
      <c r="I27" s="177" t="s">
        <v>1411</v>
      </c>
      <c r="J27" s="177">
        <v>2017</v>
      </c>
      <c r="K27" s="177" t="s">
        <v>220</v>
      </c>
      <c r="L27" s="178" t="s">
        <v>30</v>
      </c>
      <c r="M27" s="177"/>
      <c r="N27" s="177" t="s">
        <v>21</v>
      </c>
      <c r="O27"/>
      <c r="P27"/>
      <c r="Q27"/>
      <c r="R27"/>
    </row>
    <row r="28" spans="1:18" x14ac:dyDescent="0.35">
      <c r="A28" s="183" t="s">
        <v>2314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/>
      <c r="P28"/>
      <c r="Q28"/>
      <c r="R28"/>
    </row>
    <row r="29" spans="1:18" x14ac:dyDescent="0.35">
      <c r="A29" s="177" t="s">
        <v>1412</v>
      </c>
      <c r="B29" s="177" t="s">
        <v>1274</v>
      </c>
      <c r="C29" s="177" t="s">
        <v>2100</v>
      </c>
      <c r="D29" s="177" t="s">
        <v>1413</v>
      </c>
      <c r="E29" s="177" t="s">
        <v>1414</v>
      </c>
      <c r="F29" s="177" t="s">
        <v>21</v>
      </c>
      <c r="G29" s="177">
        <v>58992</v>
      </c>
      <c r="H29" s="177"/>
      <c r="I29" s="177" t="s">
        <v>1415</v>
      </c>
      <c r="J29" s="177">
        <v>2022</v>
      </c>
      <c r="K29" s="177"/>
      <c r="L29" s="181" t="s">
        <v>23</v>
      </c>
      <c r="M29" s="177"/>
      <c r="N29" s="177" t="s">
        <v>1416</v>
      </c>
      <c r="O29"/>
      <c r="P29"/>
      <c r="Q29"/>
      <c r="R29"/>
    </row>
    <row r="30" spans="1:18" x14ac:dyDescent="0.35">
      <c r="A30" s="177" t="s">
        <v>1394</v>
      </c>
      <c r="B30" s="177" t="s">
        <v>1274</v>
      </c>
      <c r="C30" s="177" t="s">
        <v>2100</v>
      </c>
      <c r="D30" s="177" t="s">
        <v>1395</v>
      </c>
      <c r="E30" s="177" t="s">
        <v>1396</v>
      </c>
      <c r="F30" s="177" t="s">
        <v>21</v>
      </c>
      <c r="G30" s="177">
        <v>35505</v>
      </c>
      <c r="H30" s="177">
        <v>35226</v>
      </c>
      <c r="I30" s="177" t="s">
        <v>444</v>
      </c>
      <c r="J30" s="177">
        <v>2012</v>
      </c>
      <c r="K30" s="177" t="s">
        <v>445</v>
      </c>
      <c r="L30" s="178" t="s">
        <v>30</v>
      </c>
      <c r="M30" s="177"/>
      <c r="N30" s="177" t="s">
        <v>21</v>
      </c>
      <c r="O30"/>
      <c r="P30"/>
      <c r="Q30"/>
      <c r="R30"/>
    </row>
    <row r="31" spans="1:18" x14ac:dyDescent="0.35">
      <c r="A31" s="177" t="s">
        <v>1431</v>
      </c>
      <c r="B31" s="177" t="s">
        <v>1274</v>
      </c>
      <c r="C31" s="177" t="s">
        <v>2100</v>
      </c>
      <c r="D31" s="177" t="s">
        <v>1432</v>
      </c>
      <c r="E31" s="177"/>
      <c r="F31" s="177" t="s">
        <v>93</v>
      </c>
      <c r="G31" s="177">
        <v>24833</v>
      </c>
      <c r="H31" s="177"/>
      <c r="I31" s="177"/>
      <c r="J31" s="177"/>
      <c r="K31" s="177" t="s">
        <v>596</v>
      </c>
      <c r="L31" s="186" t="s">
        <v>597</v>
      </c>
      <c r="M31" s="177" t="s">
        <v>94</v>
      </c>
      <c r="N31" s="177"/>
      <c r="O31"/>
      <c r="P31"/>
      <c r="Q31"/>
      <c r="R31"/>
    </row>
    <row r="32" spans="1:18" x14ac:dyDescent="0.35">
      <c r="A32" s="183" t="s">
        <v>2315</v>
      </c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/>
      <c r="P32"/>
      <c r="Q32"/>
      <c r="R32"/>
    </row>
    <row r="33" spans="1:18" x14ac:dyDescent="0.35">
      <c r="A33" s="177" t="s">
        <v>1339</v>
      </c>
      <c r="B33" s="177" t="s">
        <v>1274</v>
      </c>
      <c r="C33" s="177" t="s">
        <v>2105</v>
      </c>
      <c r="D33" s="177" t="s">
        <v>1340</v>
      </c>
      <c r="E33" s="177"/>
      <c r="F33" s="177" t="s">
        <v>874</v>
      </c>
      <c r="G33" s="177" t="s">
        <v>1341</v>
      </c>
      <c r="H33" s="177"/>
      <c r="I33" s="177" t="s">
        <v>1342</v>
      </c>
      <c r="J33" s="177">
        <v>2025</v>
      </c>
      <c r="K33" s="177" t="s">
        <v>78</v>
      </c>
      <c r="L33" s="179" t="s">
        <v>79</v>
      </c>
      <c r="M33" s="177"/>
      <c r="N33" s="177" t="s">
        <v>874</v>
      </c>
      <c r="O33"/>
      <c r="P33"/>
      <c r="Q33"/>
      <c r="R33"/>
    </row>
    <row r="34" spans="1:18" x14ac:dyDescent="0.35">
      <c r="A34" s="177" t="s">
        <v>1344</v>
      </c>
      <c r="B34" s="177" t="s">
        <v>1274</v>
      </c>
      <c r="C34" s="177" t="s">
        <v>2105</v>
      </c>
      <c r="D34" s="177" t="s">
        <v>1345</v>
      </c>
      <c r="E34" s="177"/>
      <c r="F34" s="177" t="s">
        <v>874</v>
      </c>
      <c r="G34" s="177" t="s">
        <v>1346</v>
      </c>
      <c r="H34" s="177"/>
      <c r="I34" s="180">
        <v>45478</v>
      </c>
      <c r="J34" s="177">
        <v>2024</v>
      </c>
      <c r="K34" s="177" t="s">
        <v>78</v>
      </c>
      <c r="L34" s="179" t="s">
        <v>79</v>
      </c>
      <c r="M34" s="177"/>
      <c r="N34" s="177" t="s">
        <v>874</v>
      </c>
      <c r="O34"/>
      <c r="P34"/>
      <c r="Q34"/>
      <c r="R34"/>
    </row>
    <row r="35" spans="1:18" x14ac:dyDescent="0.35">
      <c r="A35" s="177" t="s">
        <v>1347</v>
      </c>
      <c r="B35" s="177" t="s">
        <v>1274</v>
      </c>
      <c r="C35" s="177" t="s">
        <v>2105</v>
      </c>
      <c r="D35" s="177" t="s">
        <v>1348</v>
      </c>
      <c r="E35" s="177"/>
      <c r="F35" s="177" t="s">
        <v>874</v>
      </c>
      <c r="G35" s="177" t="s">
        <v>1349</v>
      </c>
      <c r="H35" s="177"/>
      <c r="I35" s="177" t="s">
        <v>1350</v>
      </c>
      <c r="J35" s="177">
        <v>2023</v>
      </c>
      <c r="K35" s="177" t="s">
        <v>78</v>
      </c>
      <c r="L35" s="179" t="s">
        <v>79</v>
      </c>
      <c r="M35" s="177"/>
      <c r="N35" s="177" t="s">
        <v>874</v>
      </c>
      <c r="O35"/>
      <c r="P35"/>
      <c r="Q35"/>
      <c r="R35"/>
    </row>
    <row r="36" spans="1:18" x14ac:dyDescent="0.35">
      <c r="A36" s="183" t="s">
        <v>2316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/>
      <c r="P36"/>
      <c r="Q36"/>
      <c r="R36"/>
    </row>
    <row r="37" spans="1:18" x14ac:dyDescent="0.35">
      <c r="A37" s="177" t="s">
        <v>1423</v>
      </c>
      <c r="B37" s="177" t="s">
        <v>1274</v>
      </c>
      <c r="C37" s="177" t="s">
        <v>2107</v>
      </c>
      <c r="D37" s="177" t="s">
        <v>1424</v>
      </c>
      <c r="E37" s="177"/>
      <c r="F37" s="177" t="s">
        <v>93</v>
      </c>
      <c r="G37" s="177">
        <v>30261</v>
      </c>
      <c r="H37" s="177"/>
      <c r="I37" s="177"/>
      <c r="J37" s="177"/>
      <c r="K37" s="177" t="s">
        <v>396</v>
      </c>
      <c r="L37" s="184" t="s">
        <v>61</v>
      </c>
      <c r="M37" s="177" t="s">
        <v>94</v>
      </c>
      <c r="N37" s="177"/>
      <c r="O37"/>
      <c r="P37"/>
      <c r="Q37"/>
      <c r="R37"/>
    </row>
    <row r="38" spans="1:18" x14ac:dyDescent="0.35">
      <c r="A38" s="177" t="s">
        <v>1352</v>
      </c>
      <c r="B38" s="177" t="s">
        <v>1274</v>
      </c>
      <c r="C38" s="177" t="s">
        <v>2107</v>
      </c>
      <c r="D38" s="177" t="s">
        <v>1353</v>
      </c>
      <c r="E38" s="177"/>
      <c r="F38" s="177" t="s">
        <v>413</v>
      </c>
      <c r="G38" s="177" t="s">
        <v>1354</v>
      </c>
      <c r="H38" s="177"/>
      <c r="I38" s="180">
        <v>45078</v>
      </c>
      <c r="J38" s="177">
        <v>2023</v>
      </c>
      <c r="K38" s="177" t="s">
        <v>106</v>
      </c>
      <c r="L38" s="182" t="s">
        <v>107</v>
      </c>
      <c r="M38" s="177"/>
      <c r="N38" s="177" t="s">
        <v>413</v>
      </c>
      <c r="O38"/>
      <c r="P38"/>
      <c r="Q38"/>
      <c r="R38"/>
    </row>
    <row r="39" spans="1:18" x14ac:dyDescent="0.35">
      <c r="A39" s="183" t="s">
        <v>2317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/>
      <c r="P39"/>
      <c r="Q39"/>
      <c r="R39"/>
    </row>
    <row r="40" spans="1:18" x14ac:dyDescent="0.35">
      <c r="A40" s="177" t="s">
        <v>1337</v>
      </c>
      <c r="B40" s="177" t="s">
        <v>1274</v>
      </c>
      <c r="C40" s="177" t="s">
        <v>2110</v>
      </c>
      <c r="D40" s="177" t="s">
        <v>1338</v>
      </c>
      <c r="E40" s="177"/>
      <c r="F40" s="177" t="s">
        <v>874</v>
      </c>
      <c r="G40" s="177">
        <v>71353</v>
      </c>
      <c r="H40" s="177"/>
      <c r="I40" s="177"/>
      <c r="J40" s="177"/>
      <c r="K40" s="177" t="s">
        <v>78</v>
      </c>
      <c r="L40" s="179" t="s">
        <v>79</v>
      </c>
      <c r="M40" s="177"/>
      <c r="N40" s="177" t="s">
        <v>874</v>
      </c>
      <c r="O40"/>
      <c r="P40"/>
      <c r="Q40"/>
      <c r="R40"/>
    </row>
    <row r="41" spans="1:18" x14ac:dyDescent="0.35">
      <c r="A41" s="183" t="s">
        <v>2318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/>
      <c r="P41"/>
      <c r="Q41"/>
      <c r="R41"/>
    </row>
    <row r="42" spans="1:18" x14ac:dyDescent="0.35">
      <c r="A42" s="177" t="s">
        <v>1275</v>
      </c>
      <c r="B42" s="177" t="s">
        <v>1274</v>
      </c>
      <c r="C42" s="177" t="s">
        <v>2112</v>
      </c>
      <c r="D42" s="177" t="s">
        <v>1276</v>
      </c>
      <c r="E42" s="177"/>
      <c r="F42" s="177" t="s">
        <v>1912</v>
      </c>
      <c r="G42" s="177" t="s">
        <v>1277</v>
      </c>
      <c r="H42" s="177" t="s">
        <v>1278</v>
      </c>
      <c r="I42" s="177"/>
      <c r="J42" s="177"/>
      <c r="K42" s="177" t="s">
        <v>835</v>
      </c>
      <c r="L42" s="185" t="s">
        <v>280</v>
      </c>
      <c r="M42" s="177" t="s">
        <v>1279</v>
      </c>
      <c r="N42" s="177" t="s">
        <v>290</v>
      </c>
      <c r="O42"/>
      <c r="P42"/>
      <c r="Q42"/>
      <c r="R42"/>
    </row>
    <row r="43" spans="1:18" x14ac:dyDescent="0.35">
      <c r="A43" s="177" t="s">
        <v>1280</v>
      </c>
      <c r="B43" s="177" t="s">
        <v>1274</v>
      </c>
      <c r="C43" s="177" t="s">
        <v>2112</v>
      </c>
      <c r="D43" s="177" t="s">
        <v>1281</v>
      </c>
      <c r="E43" s="177"/>
      <c r="F43" s="177" t="s">
        <v>1282</v>
      </c>
      <c r="G43" s="177" t="s">
        <v>1283</v>
      </c>
      <c r="H43" s="177"/>
      <c r="I43" s="180">
        <v>44598</v>
      </c>
      <c r="J43" s="177">
        <v>2022</v>
      </c>
      <c r="K43" s="177" t="s">
        <v>106</v>
      </c>
      <c r="L43" s="182" t="s">
        <v>107</v>
      </c>
      <c r="M43" s="177"/>
      <c r="N43" s="177" t="s">
        <v>1282</v>
      </c>
      <c r="O43"/>
      <c r="P43"/>
      <c r="Q43"/>
      <c r="R43"/>
    </row>
    <row r="44" spans="1:18" x14ac:dyDescent="0.35">
      <c r="A44" s="177" t="s">
        <v>1284</v>
      </c>
      <c r="B44" s="177" t="s">
        <v>1274</v>
      </c>
      <c r="C44" s="177" t="s">
        <v>2112</v>
      </c>
      <c r="D44" s="177" t="s">
        <v>1285</v>
      </c>
      <c r="E44" s="177"/>
      <c r="F44" s="177" t="s">
        <v>419</v>
      </c>
      <c r="G44" s="177" t="s">
        <v>1286</v>
      </c>
      <c r="H44" s="177"/>
      <c r="I44" s="180">
        <v>45599</v>
      </c>
      <c r="J44" s="177">
        <v>2024</v>
      </c>
      <c r="K44" s="177" t="s">
        <v>78</v>
      </c>
      <c r="L44" s="179" t="s">
        <v>79</v>
      </c>
      <c r="M44" s="177"/>
      <c r="N44" s="177" t="s">
        <v>419</v>
      </c>
      <c r="O44"/>
      <c r="P44"/>
      <c r="Q44"/>
      <c r="R44"/>
    </row>
    <row r="45" spans="1:18" x14ac:dyDescent="0.35">
      <c r="A45" s="177" t="s">
        <v>1287</v>
      </c>
      <c r="B45" s="177" t="s">
        <v>1274</v>
      </c>
      <c r="C45" s="177" t="s">
        <v>2112</v>
      </c>
      <c r="D45" s="177" t="s">
        <v>1288</v>
      </c>
      <c r="E45" s="177" t="s">
        <v>1289</v>
      </c>
      <c r="F45" s="177" t="s">
        <v>874</v>
      </c>
      <c r="G45" s="177" t="s">
        <v>1290</v>
      </c>
      <c r="H45" s="177"/>
      <c r="I45" s="177" t="s">
        <v>1291</v>
      </c>
      <c r="J45" s="177">
        <v>2020</v>
      </c>
      <c r="K45" s="177" t="s">
        <v>1292</v>
      </c>
      <c r="L45" s="178" t="s">
        <v>30</v>
      </c>
      <c r="M45" s="177"/>
      <c r="N45" s="177" t="s">
        <v>1293</v>
      </c>
      <c r="O45"/>
      <c r="P45"/>
      <c r="Q45"/>
      <c r="R45"/>
    </row>
    <row r="46" spans="1:18" x14ac:dyDescent="0.35">
      <c r="A46" s="177" t="s">
        <v>1296</v>
      </c>
      <c r="B46" s="177" t="s">
        <v>1274</v>
      </c>
      <c r="C46" s="177" t="s">
        <v>2112</v>
      </c>
      <c r="D46" s="177" t="s">
        <v>1297</v>
      </c>
      <c r="E46" s="177"/>
      <c r="F46" s="177" t="s">
        <v>874</v>
      </c>
      <c r="G46" s="177">
        <v>72837</v>
      </c>
      <c r="H46" s="177"/>
      <c r="I46" s="177" t="s">
        <v>1298</v>
      </c>
      <c r="J46" s="177">
        <v>2025</v>
      </c>
      <c r="K46" s="177" t="s">
        <v>78</v>
      </c>
      <c r="L46" s="179" t="s">
        <v>79</v>
      </c>
      <c r="M46" s="177"/>
      <c r="N46" s="177" t="s">
        <v>874</v>
      </c>
      <c r="O46"/>
      <c r="P46"/>
      <c r="Q46"/>
      <c r="R46"/>
    </row>
    <row r="47" spans="1:18" x14ac:dyDescent="0.35">
      <c r="A47" s="177" t="s">
        <v>1299</v>
      </c>
      <c r="B47" s="177" t="s">
        <v>1274</v>
      </c>
      <c r="C47" s="177" t="s">
        <v>2112</v>
      </c>
      <c r="D47" s="177" t="s">
        <v>1300</v>
      </c>
      <c r="E47" s="177"/>
      <c r="F47" s="177" t="s">
        <v>1912</v>
      </c>
      <c r="G47" s="177" t="s">
        <v>1301</v>
      </c>
      <c r="H47" s="177" t="s">
        <v>1302</v>
      </c>
      <c r="I47" s="177"/>
      <c r="J47" s="177"/>
      <c r="K47" s="177" t="s">
        <v>835</v>
      </c>
      <c r="L47" s="185" t="s">
        <v>280</v>
      </c>
      <c r="M47" s="177" t="s">
        <v>1303</v>
      </c>
      <c r="N47" s="177" t="s">
        <v>290</v>
      </c>
      <c r="O47"/>
      <c r="P47"/>
      <c r="Q47"/>
      <c r="R47"/>
    </row>
    <row r="48" spans="1:18" x14ac:dyDescent="0.35">
      <c r="A48" s="177" t="s">
        <v>1304</v>
      </c>
      <c r="B48" s="177" t="s">
        <v>1274</v>
      </c>
      <c r="C48" s="177" t="s">
        <v>2112</v>
      </c>
      <c r="D48" s="177" t="s">
        <v>1305</v>
      </c>
      <c r="E48" s="177"/>
      <c r="F48" s="177" t="s">
        <v>1912</v>
      </c>
      <c r="G48" s="177" t="s">
        <v>1306</v>
      </c>
      <c r="H48" s="177" t="s">
        <v>1307</v>
      </c>
      <c r="I48" s="177"/>
      <c r="J48" s="177"/>
      <c r="K48" s="177" t="s">
        <v>302</v>
      </c>
      <c r="L48" s="185" t="s">
        <v>280</v>
      </c>
      <c r="M48" s="177" t="s">
        <v>416</v>
      </c>
      <c r="N48" s="177" t="s">
        <v>290</v>
      </c>
      <c r="O48"/>
      <c r="P48"/>
      <c r="Q48"/>
      <c r="R48"/>
    </row>
    <row r="49" spans="1:18" x14ac:dyDescent="0.35">
      <c r="A49" s="177" t="s">
        <v>1308</v>
      </c>
      <c r="B49" s="177" t="s">
        <v>1274</v>
      </c>
      <c r="C49" s="177" t="s">
        <v>2112</v>
      </c>
      <c r="D49" s="177" t="s">
        <v>1309</v>
      </c>
      <c r="E49" s="177"/>
      <c r="F49" s="177" t="s">
        <v>874</v>
      </c>
      <c r="G49" s="177">
        <v>72047</v>
      </c>
      <c r="H49" s="177"/>
      <c r="I49" s="180">
        <v>45664</v>
      </c>
      <c r="J49" s="177">
        <v>2025</v>
      </c>
      <c r="K49" s="177" t="s">
        <v>78</v>
      </c>
      <c r="L49" s="179" t="s">
        <v>79</v>
      </c>
      <c r="M49" s="177"/>
      <c r="N49" s="177" t="s">
        <v>874</v>
      </c>
      <c r="O49"/>
      <c r="P49"/>
      <c r="Q49"/>
      <c r="R49"/>
    </row>
    <row r="50" spans="1:18" x14ac:dyDescent="0.35">
      <c r="A50" s="177" t="s">
        <v>1440</v>
      </c>
      <c r="B50" s="177" t="s">
        <v>1274</v>
      </c>
      <c r="C50" s="177" t="s">
        <v>2112</v>
      </c>
      <c r="D50" s="177" t="s">
        <v>1441</v>
      </c>
      <c r="E50" s="177"/>
      <c r="F50" s="177" t="s">
        <v>93</v>
      </c>
      <c r="G50" s="177">
        <v>30260</v>
      </c>
      <c r="H50" s="177"/>
      <c r="I50" s="177"/>
      <c r="J50" s="177"/>
      <c r="K50" s="177" t="s">
        <v>396</v>
      </c>
      <c r="L50" s="184" t="s">
        <v>61</v>
      </c>
      <c r="M50" s="177" t="s">
        <v>94</v>
      </c>
      <c r="N50" s="177"/>
      <c r="O50"/>
      <c r="P50"/>
      <c r="Q50"/>
      <c r="R50"/>
    </row>
    <row r="51" spans="1:18" x14ac:dyDescent="0.35">
      <c r="A51" s="177" t="s">
        <v>1443</v>
      </c>
      <c r="B51" s="177" t="s">
        <v>1274</v>
      </c>
      <c r="C51" s="177" t="s">
        <v>2112</v>
      </c>
      <c r="D51" s="177" t="s">
        <v>1444</v>
      </c>
      <c r="E51" s="177"/>
      <c r="F51" s="177" t="s">
        <v>93</v>
      </c>
      <c r="G51" s="177">
        <v>25992</v>
      </c>
      <c r="H51" s="177"/>
      <c r="I51" s="177"/>
      <c r="J51" s="177"/>
      <c r="K51" s="177" t="s">
        <v>596</v>
      </c>
      <c r="L51" s="186" t="s">
        <v>597</v>
      </c>
      <c r="M51" s="177" t="s">
        <v>94</v>
      </c>
      <c r="N51" s="177"/>
      <c r="O51"/>
      <c r="P51"/>
      <c r="Q51"/>
      <c r="R51"/>
    </row>
    <row r="52" spans="1:18" x14ac:dyDescent="0.35">
      <c r="A52" s="177" t="s">
        <v>1310</v>
      </c>
      <c r="B52" s="177" t="s">
        <v>1274</v>
      </c>
      <c r="C52" s="177" t="s">
        <v>2112</v>
      </c>
      <c r="D52" s="177" t="s">
        <v>1311</v>
      </c>
      <c r="E52" s="177"/>
      <c r="F52" s="177" t="s">
        <v>413</v>
      </c>
      <c r="G52" s="177" t="s">
        <v>1312</v>
      </c>
      <c r="H52" s="177"/>
      <c r="I52" s="177" t="s">
        <v>1313</v>
      </c>
      <c r="J52" s="177">
        <v>2024</v>
      </c>
      <c r="K52" s="177" t="s">
        <v>106</v>
      </c>
      <c r="L52" s="182" t="s">
        <v>107</v>
      </c>
      <c r="M52" s="177"/>
      <c r="N52" s="177" t="s">
        <v>413</v>
      </c>
      <c r="O52"/>
      <c r="P52"/>
      <c r="Q52"/>
      <c r="R52"/>
    </row>
    <row r="53" spans="1:18" x14ac:dyDescent="0.35">
      <c r="A53" s="177" t="s">
        <v>1314</v>
      </c>
      <c r="B53" s="177" t="s">
        <v>1274</v>
      </c>
      <c r="C53" s="177" t="s">
        <v>2112</v>
      </c>
      <c r="D53" s="177" t="s">
        <v>1315</v>
      </c>
      <c r="E53" s="177"/>
      <c r="F53" s="177" t="s">
        <v>1316</v>
      </c>
      <c r="G53" s="177">
        <v>73756</v>
      </c>
      <c r="H53" s="177"/>
      <c r="I53" s="177" t="s">
        <v>1317</v>
      </c>
      <c r="J53" s="177">
        <v>2025</v>
      </c>
      <c r="K53" s="177" t="s">
        <v>78</v>
      </c>
      <c r="L53" s="179" t="s">
        <v>79</v>
      </c>
      <c r="M53" s="177"/>
      <c r="N53" s="177" t="s">
        <v>1316</v>
      </c>
      <c r="O53"/>
      <c r="P53"/>
      <c r="Q53"/>
      <c r="R53"/>
    </row>
    <row r="54" spans="1:18" x14ac:dyDescent="0.35">
      <c r="A54" s="177" t="s">
        <v>1318</v>
      </c>
      <c r="B54" s="177" t="s">
        <v>1274</v>
      </c>
      <c r="C54" s="177" t="s">
        <v>2112</v>
      </c>
      <c r="D54" s="177" t="s">
        <v>1319</v>
      </c>
      <c r="E54" s="177"/>
      <c r="F54" s="177" t="s">
        <v>874</v>
      </c>
      <c r="G54" s="177">
        <v>72412</v>
      </c>
      <c r="H54" s="177"/>
      <c r="I54" s="180">
        <v>45969</v>
      </c>
      <c r="J54" s="177">
        <v>2025</v>
      </c>
      <c r="K54" s="177" t="s">
        <v>78</v>
      </c>
      <c r="L54" s="179" t="s">
        <v>79</v>
      </c>
      <c r="M54" s="177"/>
      <c r="N54" s="177" t="s">
        <v>874</v>
      </c>
      <c r="O54"/>
      <c r="P54"/>
      <c r="Q54"/>
      <c r="R54"/>
    </row>
    <row r="55" spans="1:18" x14ac:dyDescent="0.35">
      <c r="A55" s="177" t="s">
        <v>1320</v>
      </c>
      <c r="B55" s="177" t="s">
        <v>1274</v>
      </c>
      <c r="C55" s="177" t="s">
        <v>2112</v>
      </c>
      <c r="D55" s="177" t="s">
        <v>1321</v>
      </c>
      <c r="E55" s="177"/>
      <c r="F55" s="177" t="s">
        <v>874</v>
      </c>
      <c r="G55" s="177" t="s">
        <v>1322</v>
      </c>
      <c r="H55" s="177"/>
      <c r="I55" s="177" t="s">
        <v>1323</v>
      </c>
      <c r="J55" s="177">
        <v>2018</v>
      </c>
      <c r="K55" s="177" t="s">
        <v>37</v>
      </c>
      <c r="L55" s="178" t="s">
        <v>30</v>
      </c>
      <c r="M55" s="177"/>
      <c r="N55" s="177" t="s">
        <v>874</v>
      </c>
      <c r="O55"/>
      <c r="P55"/>
      <c r="Q55"/>
      <c r="R55"/>
    </row>
    <row r="56" spans="1:18" x14ac:dyDescent="0.35">
      <c r="A56" s="177" t="s">
        <v>1324</v>
      </c>
      <c r="B56" s="177" t="s">
        <v>1274</v>
      </c>
      <c r="C56" s="177" t="s">
        <v>2112</v>
      </c>
      <c r="D56" s="177" t="s">
        <v>1325</v>
      </c>
      <c r="E56" s="177"/>
      <c r="F56" s="177" t="s">
        <v>1282</v>
      </c>
      <c r="G56" s="177" t="s">
        <v>1326</v>
      </c>
      <c r="H56" s="177"/>
      <c r="I56" s="180">
        <v>45605</v>
      </c>
      <c r="J56" s="177">
        <v>2024</v>
      </c>
      <c r="K56" s="177" t="s">
        <v>106</v>
      </c>
      <c r="L56" s="182" t="s">
        <v>107</v>
      </c>
      <c r="M56" s="177"/>
      <c r="N56" s="177" t="s">
        <v>1282</v>
      </c>
      <c r="O56"/>
      <c r="P56"/>
      <c r="Q56"/>
      <c r="R56"/>
    </row>
    <row r="57" spans="1:18" x14ac:dyDescent="0.35">
      <c r="A57" s="177" t="s">
        <v>1328</v>
      </c>
      <c r="B57" s="177" t="s">
        <v>1274</v>
      </c>
      <c r="C57" s="177" t="s">
        <v>2112</v>
      </c>
      <c r="D57" s="177" t="s">
        <v>1329</v>
      </c>
      <c r="E57" s="177"/>
      <c r="F57" s="177" t="s">
        <v>1282</v>
      </c>
      <c r="G57" s="177">
        <v>72346</v>
      </c>
      <c r="H57" s="177"/>
      <c r="I57" s="180">
        <v>45877</v>
      </c>
      <c r="J57" s="177">
        <v>2025</v>
      </c>
      <c r="K57" s="177" t="s">
        <v>78</v>
      </c>
      <c r="L57" s="179" t="s">
        <v>79</v>
      </c>
      <c r="M57" s="177"/>
      <c r="N57" s="177" t="s">
        <v>1282</v>
      </c>
      <c r="O57"/>
      <c r="P57"/>
      <c r="Q57"/>
      <c r="R57"/>
    </row>
    <row r="58" spans="1:18" x14ac:dyDescent="0.35">
      <c r="A58" s="177" t="s">
        <v>1330</v>
      </c>
      <c r="B58" s="177" t="s">
        <v>1274</v>
      </c>
      <c r="C58" s="177" t="s">
        <v>2112</v>
      </c>
      <c r="D58" s="177" t="s">
        <v>1331</v>
      </c>
      <c r="E58" s="177"/>
      <c r="F58" s="177" t="s">
        <v>1912</v>
      </c>
      <c r="G58" s="177" t="s">
        <v>1332</v>
      </c>
      <c r="H58" s="177" t="s">
        <v>1333</v>
      </c>
      <c r="I58" s="177"/>
      <c r="J58" s="177"/>
      <c r="K58" s="177" t="s">
        <v>385</v>
      </c>
      <c r="L58" s="179" t="s">
        <v>386</v>
      </c>
      <c r="M58" s="177" t="s">
        <v>416</v>
      </c>
      <c r="N58" s="177" t="s">
        <v>290</v>
      </c>
      <c r="O58"/>
      <c r="P58"/>
      <c r="Q58"/>
      <c r="R58"/>
    </row>
    <row r="59" spans="1:18" x14ac:dyDescent="0.35">
      <c r="A59" s="177" t="s">
        <v>1334</v>
      </c>
      <c r="B59" s="177" t="s">
        <v>1274</v>
      </c>
      <c r="C59" s="177" t="s">
        <v>2112</v>
      </c>
      <c r="D59" s="177" t="s">
        <v>1335</v>
      </c>
      <c r="E59" s="177" t="s">
        <v>1336</v>
      </c>
      <c r="F59" s="177" t="s">
        <v>21</v>
      </c>
      <c r="G59" s="177">
        <v>36248</v>
      </c>
      <c r="H59" s="177"/>
      <c r="I59" s="177" t="s">
        <v>195</v>
      </c>
      <c r="J59" s="177">
        <v>2013</v>
      </c>
      <c r="K59" s="177"/>
      <c r="L59" s="181" t="s">
        <v>23</v>
      </c>
      <c r="M59" s="177"/>
      <c r="N59" s="177" t="s">
        <v>21</v>
      </c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00"/>
  <sheetViews>
    <sheetView showGridLines="0" zoomScale="43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95.453125" style="19" bestFit="1" customWidth="1"/>
    <col min="2" max="2" width="45.90625" style="19" bestFit="1" customWidth="1"/>
    <col min="3" max="3" width="74.1796875" style="19" bestFit="1" customWidth="1"/>
    <col min="4" max="4" width="255.81640625" style="19" bestFit="1" customWidth="1"/>
    <col min="5" max="5" width="244.1796875" style="19" bestFit="1" customWidth="1"/>
    <col min="6" max="6" width="36.81640625" style="19" bestFit="1" customWidth="1"/>
    <col min="7" max="7" width="40.90625" style="19" bestFit="1" customWidth="1"/>
    <col min="8" max="8" width="52.54296875" style="19" bestFit="1" customWidth="1"/>
    <col min="9" max="9" width="22.36328125" style="19" bestFit="1" customWidth="1"/>
    <col min="10" max="10" width="11.1796875" style="19" bestFit="1" customWidth="1"/>
    <col min="11" max="11" width="30.54296875" style="19" bestFit="1" customWidth="1"/>
    <col min="12" max="12" width="36.81640625" style="19" bestFit="1" customWidth="1"/>
    <col min="13" max="13" width="26" style="19" bestFit="1" customWidth="1"/>
    <col min="14" max="14" width="30.54296875" style="19" bestFit="1" customWidth="1"/>
    <col min="15" max="15" width="8.08984375" style="19" bestFit="1" customWidth="1"/>
    <col min="16" max="16" width="37.453125" style="19" bestFit="1" customWidth="1"/>
    <col min="17" max="17" width="29.90625" style="19" bestFit="1" customWidth="1"/>
    <col min="18" max="18" width="23.36328125" style="19" bestFit="1" customWidth="1"/>
    <col min="19" max="16384" width="8.90625" style="19"/>
  </cols>
  <sheetData>
    <row r="1" spans="1:18" x14ac:dyDescent="0.35">
      <c r="A1" s="287" t="s">
        <v>1754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0" t="s">
        <v>2319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/>
      <c r="P3"/>
      <c r="Q3"/>
      <c r="R3"/>
    </row>
    <row r="4" spans="1:18" x14ac:dyDescent="0.35">
      <c r="A4" s="177" t="s">
        <v>1581</v>
      </c>
      <c r="B4" s="177" t="s">
        <v>1451</v>
      </c>
      <c r="C4" s="177" t="s">
        <v>2127</v>
      </c>
      <c r="D4" s="177" t="s">
        <v>1582</v>
      </c>
      <c r="E4" s="177" t="s">
        <v>1583</v>
      </c>
      <c r="F4" s="177" t="s">
        <v>21</v>
      </c>
      <c r="G4" s="177">
        <v>39670</v>
      </c>
      <c r="H4" s="177">
        <v>39670</v>
      </c>
      <c r="I4" s="177" t="s">
        <v>100</v>
      </c>
      <c r="J4" s="177">
        <v>2016</v>
      </c>
      <c r="K4" s="177" t="s">
        <v>125</v>
      </c>
      <c r="L4" s="178" t="s">
        <v>30</v>
      </c>
      <c r="M4" s="177"/>
      <c r="N4" s="177" t="s">
        <v>21</v>
      </c>
      <c r="O4"/>
      <c r="P4"/>
      <c r="Q4"/>
      <c r="R4"/>
    </row>
    <row r="5" spans="1:18" x14ac:dyDescent="0.35">
      <c r="A5" s="177" t="s">
        <v>1470</v>
      </c>
      <c r="B5" s="177" t="s">
        <v>1451</v>
      </c>
      <c r="C5" s="177" t="s">
        <v>2127</v>
      </c>
      <c r="D5" s="177" t="s">
        <v>1471</v>
      </c>
      <c r="E5" s="177" t="s">
        <v>1472</v>
      </c>
      <c r="F5" s="177" t="s">
        <v>21</v>
      </c>
      <c r="G5" s="177">
        <v>57944</v>
      </c>
      <c r="H5" s="177"/>
      <c r="I5" s="177" t="s">
        <v>52</v>
      </c>
      <c r="J5" s="177">
        <v>2022</v>
      </c>
      <c r="K5" s="177"/>
      <c r="L5" s="181" t="s">
        <v>23</v>
      </c>
      <c r="M5" s="177"/>
      <c r="N5" s="177" t="s">
        <v>21</v>
      </c>
      <c r="O5"/>
      <c r="P5"/>
      <c r="Q5"/>
      <c r="R5"/>
    </row>
    <row r="6" spans="1:18" x14ac:dyDescent="0.35">
      <c r="A6" s="183" t="s">
        <v>2320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/>
      <c r="P6"/>
      <c r="Q6"/>
      <c r="R6"/>
    </row>
    <row r="7" spans="1:18" x14ac:dyDescent="0.35">
      <c r="A7" s="177" t="s">
        <v>1450</v>
      </c>
      <c r="B7" s="177" t="s">
        <v>1451</v>
      </c>
      <c r="C7" s="177" t="s">
        <v>2130</v>
      </c>
      <c r="D7" s="177" t="s">
        <v>1452</v>
      </c>
      <c r="E7" s="177"/>
      <c r="F7" s="177" t="s">
        <v>419</v>
      </c>
      <c r="G7" s="177" t="s">
        <v>1453</v>
      </c>
      <c r="H7" s="177"/>
      <c r="I7" s="180">
        <v>45448</v>
      </c>
      <c r="J7" s="177">
        <v>2024</v>
      </c>
      <c r="K7" s="177" t="s">
        <v>106</v>
      </c>
      <c r="L7" s="182" t="s">
        <v>107</v>
      </c>
      <c r="M7" s="177"/>
      <c r="N7" s="177" t="s">
        <v>419</v>
      </c>
      <c r="O7"/>
      <c r="P7"/>
      <c r="Q7"/>
      <c r="R7"/>
    </row>
    <row r="8" spans="1:18" x14ac:dyDescent="0.35">
      <c r="A8" s="177" t="s">
        <v>1473</v>
      </c>
      <c r="B8" s="177" t="s">
        <v>1451</v>
      </c>
      <c r="C8" s="177" t="s">
        <v>2130</v>
      </c>
      <c r="D8" s="177" t="s">
        <v>1474</v>
      </c>
      <c r="E8" s="177"/>
      <c r="F8" s="177" t="s">
        <v>76</v>
      </c>
      <c r="G8" s="177" t="s">
        <v>1475</v>
      </c>
      <c r="H8" s="177"/>
      <c r="I8" s="180">
        <v>45692</v>
      </c>
      <c r="J8" s="177">
        <v>2025</v>
      </c>
      <c r="K8" s="177" t="s">
        <v>78</v>
      </c>
      <c r="L8" s="179" t="s">
        <v>79</v>
      </c>
      <c r="M8" s="177"/>
      <c r="N8" s="177" t="s">
        <v>76</v>
      </c>
      <c r="O8"/>
      <c r="P8"/>
      <c r="Q8"/>
      <c r="R8"/>
    </row>
    <row r="9" spans="1:18" x14ac:dyDescent="0.35">
      <c r="A9" s="177" t="s">
        <v>1476</v>
      </c>
      <c r="B9" s="177" t="s">
        <v>1451</v>
      </c>
      <c r="C9" s="177" t="s">
        <v>2130</v>
      </c>
      <c r="D9" s="177" t="s">
        <v>1477</v>
      </c>
      <c r="E9" s="177" t="s">
        <v>1478</v>
      </c>
      <c r="F9" s="177" t="s">
        <v>21</v>
      </c>
      <c r="G9" s="177">
        <v>55229</v>
      </c>
      <c r="H9" s="177"/>
      <c r="I9" s="177" t="s">
        <v>1479</v>
      </c>
      <c r="J9" s="177">
        <v>2021</v>
      </c>
      <c r="K9" s="177" t="s">
        <v>1480</v>
      </c>
      <c r="L9" s="178" t="s">
        <v>30</v>
      </c>
      <c r="M9" s="177"/>
      <c r="N9" s="177" t="s">
        <v>1481</v>
      </c>
      <c r="O9"/>
      <c r="P9"/>
      <c r="Q9"/>
      <c r="R9"/>
    </row>
    <row r="10" spans="1:18" x14ac:dyDescent="0.35">
      <c r="A10" s="177" t="s">
        <v>1482</v>
      </c>
      <c r="B10" s="177" t="s">
        <v>1451</v>
      </c>
      <c r="C10" s="177" t="s">
        <v>2130</v>
      </c>
      <c r="D10" s="177" t="s">
        <v>1483</v>
      </c>
      <c r="E10" s="177" t="s">
        <v>1484</v>
      </c>
      <c r="F10" s="177" t="s">
        <v>21</v>
      </c>
      <c r="G10" s="177">
        <v>58211</v>
      </c>
      <c r="H10" s="177"/>
      <c r="I10" s="177" t="s">
        <v>1485</v>
      </c>
      <c r="J10" s="177">
        <v>2022</v>
      </c>
      <c r="K10" s="177"/>
      <c r="L10" s="181" t="s">
        <v>23</v>
      </c>
      <c r="M10" s="177"/>
      <c r="N10" s="177" t="s">
        <v>21</v>
      </c>
      <c r="O10"/>
      <c r="P10"/>
      <c r="Q10"/>
      <c r="R10"/>
    </row>
    <row r="11" spans="1:18" x14ac:dyDescent="0.35">
      <c r="A11" s="177" t="s">
        <v>1486</v>
      </c>
      <c r="B11" s="177" t="s">
        <v>1451</v>
      </c>
      <c r="C11" s="177" t="s">
        <v>2130</v>
      </c>
      <c r="D11" s="177" t="s">
        <v>1487</v>
      </c>
      <c r="E11" s="177" t="s">
        <v>1488</v>
      </c>
      <c r="F11" s="177" t="s">
        <v>21</v>
      </c>
      <c r="G11" s="177">
        <v>41725</v>
      </c>
      <c r="H11" s="177"/>
      <c r="I11" s="177" t="s">
        <v>588</v>
      </c>
      <c r="J11" s="177">
        <v>2017</v>
      </c>
      <c r="K11" s="177"/>
      <c r="L11" s="181" t="s">
        <v>23</v>
      </c>
      <c r="M11" s="177"/>
      <c r="N11" s="177" t="s">
        <v>21</v>
      </c>
      <c r="O11"/>
      <c r="P11"/>
      <c r="Q11"/>
      <c r="R11"/>
    </row>
    <row r="12" spans="1:18" x14ac:dyDescent="0.35">
      <c r="A12" s="177" t="s">
        <v>1458</v>
      </c>
      <c r="B12" s="177" t="s">
        <v>1451</v>
      </c>
      <c r="C12" s="177" t="s">
        <v>2130</v>
      </c>
      <c r="D12" s="177" t="s">
        <v>1459</v>
      </c>
      <c r="E12" s="177" t="s">
        <v>1460</v>
      </c>
      <c r="F12" s="177" t="s">
        <v>21</v>
      </c>
      <c r="G12" s="177">
        <v>38992</v>
      </c>
      <c r="H12" s="177">
        <v>38992</v>
      </c>
      <c r="I12" s="177" t="s">
        <v>1461</v>
      </c>
      <c r="J12" s="177">
        <v>2016</v>
      </c>
      <c r="K12" s="177" t="s">
        <v>187</v>
      </c>
      <c r="L12" s="178" t="s">
        <v>30</v>
      </c>
      <c r="M12" s="177"/>
      <c r="N12" s="177" t="s">
        <v>21</v>
      </c>
      <c r="O12"/>
      <c r="P12"/>
      <c r="Q12"/>
      <c r="R12"/>
    </row>
    <row r="13" spans="1:18" x14ac:dyDescent="0.35">
      <c r="A13" s="177" t="s">
        <v>1587</v>
      </c>
      <c r="B13" s="177" t="s">
        <v>1451</v>
      </c>
      <c r="C13" s="177" t="s">
        <v>2130</v>
      </c>
      <c r="D13" s="177" t="s">
        <v>1588</v>
      </c>
      <c r="E13" s="177" t="s">
        <v>1589</v>
      </c>
      <c r="F13" s="177" t="s">
        <v>21</v>
      </c>
      <c r="G13" s="177">
        <v>51956</v>
      </c>
      <c r="H13" s="177"/>
      <c r="I13" s="177" t="s">
        <v>149</v>
      </c>
      <c r="J13" s="177">
        <v>2020</v>
      </c>
      <c r="K13" s="177" t="s">
        <v>150</v>
      </c>
      <c r="L13" s="178" t="s">
        <v>30</v>
      </c>
      <c r="M13" s="177"/>
      <c r="N13" s="177" t="s">
        <v>21</v>
      </c>
      <c r="O13"/>
      <c r="P13"/>
      <c r="Q13"/>
      <c r="R13"/>
    </row>
    <row r="14" spans="1:18" x14ac:dyDescent="0.35">
      <c r="A14" s="177" t="s">
        <v>1489</v>
      </c>
      <c r="B14" s="177" t="s">
        <v>1451</v>
      </c>
      <c r="C14" s="177" t="s">
        <v>2130</v>
      </c>
      <c r="D14" s="177" t="s">
        <v>1490</v>
      </c>
      <c r="E14" s="177"/>
      <c r="F14" s="177" t="s">
        <v>874</v>
      </c>
      <c r="G14" s="177" t="s">
        <v>1491</v>
      </c>
      <c r="H14" s="177"/>
      <c r="I14" s="180">
        <v>44935</v>
      </c>
      <c r="J14" s="177">
        <v>2023</v>
      </c>
      <c r="K14" s="177" t="s">
        <v>106</v>
      </c>
      <c r="L14" s="182" t="s">
        <v>107</v>
      </c>
      <c r="M14" s="177"/>
      <c r="N14" s="177" t="s">
        <v>874</v>
      </c>
      <c r="O14"/>
      <c r="P14"/>
      <c r="Q14"/>
      <c r="R14"/>
    </row>
    <row r="15" spans="1:18" x14ac:dyDescent="0.35">
      <c r="A15" s="177" t="s">
        <v>1559</v>
      </c>
      <c r="B15" s="177" t="s">
        <v>1451</v>
      </c>
      <c r="C15" s="177" t="s">
        <v>2130</v>
      </c>
      <c r="D15" s="177" t="s">
        <v>1560</v>
      </c>
      <c r="E15" s="177" t="s">
        <v>1561</v>
      </c>
      <c r="F15" s="177" t="s">
        <v>21</v>
      </c>
      <c r="G15" s="177">
        <v>39663</v>
      </c>
      <c r="H15" s="177">
        <v>39663</v>
      </c>
      <c r="I15" s="177" t="s">
        <v>463</v>
      </c>
      <c r="J15" s="177">
        <v>2016</v>
      </c>
      <c r="K15" s="177" t="s">
        <v>125</v>
      </c>
      <c r="L15" s="178" t="s">
        <v>30</v>
      </c>
      <c r="M15" s="177"/>
      <c r="N15" s="177" t="s">
        <v>21</v>
      </c>
      <c r="O15"/>
      <c r="P15"/>
      <c r="Q15"/>
      <c r="R15"/>
    </row>
    <row r="16" spans="1:18" x14ac:dyDescent="0.35">
      <c r="A16" s="177" t="s">
        <v>1492</v>
      </c>
      <c r="B16" s="177" t="s">
        <v>1451</v>
      </c>
      <c r="C16" s="177" t="s">
        <v>2130</v>
      </c>
      <c r="D16" s="177" t="s">
        <v>1493</v>
      </c>
      <c r="E16" s="177"/>
      <c r="F16" s="177" t="s">
        <v>1912</v>
      </c>
      <c r="G16" s="177" t="s">
        <v>1494</v>
      </c>
      <c r="H16" s="177" t="s">
        <v>1495</v>
      </c>
      <c r="I16" s="177"/>
      <c r="J16" s="177"/>
      <c r="K16" s="177" t="s">
        <v>835</v>
      </c>
      <c r="L16" s="185" t="s">
        <v>280</v>
      </c>
      <c r="M16" s="177" t="s">
        <v>1171</v>
      </c>
      <c r="N16" s="177" t="s">
        <v>290</v>
      </c>
      <c r="O16"/>
      <c r="P16"/>
      <c r="Q16"/>
      <c r="R16"/>
    </row>
    <row r="17" spans="1:18" x14ac:dyDescent="0.35">
      <c r="A17" s="183" t="s">
        <v>2321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/>
      <c r="P17"/>
      <c r="Q17"/>
      <c r="R17"/>
    </row>
    <row r="18" spans="1:18" x14ac:dyDescent="0.35">
      <c r="A18" s="177" t="s">
        <v>1584</v>
      </c>
      <c r="B18" s="177" t="s">
        <v>1451</v>
      </c>
      <c r="C18" s="177" t="s">
        <v>2140</v>
      </c>
      <c r="D18" s="177" t="s">
        <v>1585</v>
      </c>
      <c r="E18" s="177" t="s">
        <v>1586</v>
      </c>
      <c r="F18" s="177" t="s">
        <v>21</v>
      </c>
      <c r="G18" s="177">
        <v>41739</v>
      </c>
      <c r="H18" s="177"/>
      <c r="I18" s="177" t="s">
        <v>219</v>
      </c>
      <c r="J18" s="177">
        <v>2017</v>
      </c>
      <c r="K18" s="177"/>
      <c r="L18" s="181" t="s">
        <v>23</v>
      </c>
      <c r="M18" s="177"/>
      <c r="N18" s="177" t="s">
        <v>21</v>
      </c>
      <c r="O18"/>
      <c r="P18"/>
      <c r="Q18"/>
      <c r="R18"/>
    </row>
    <row r="19" spans="1:18" x14ac:dyDescent="0.35">
      <c r="A19" s="177" t="s">
        <v>1600</v>
      </c>
      <c r="B19" s="177" t="s">
        <v>1451</v>
      </c>
      <c r="C19" s="177" t="s">
        <v>2140</v>
      </c>
      <c r="D19" s="177" t="s">
        <v>1601</v>
      </c>
      <c r="E19" s="177" t="s">
        <v>1602</v>
      </c>
      <c r="F19" s="177" t="s">
        <v>21</v>
      </c>
      <c r="G19" s="177">
        <v>38595</v>
      </c>
      <c r="H19" s="177"/>
      <c r="I19" s="177" t="s">
        <v>1603</v>
      </c>
      <c r="J19" s="177">
        <v>2015</v>
      </c>
      <c r="K19" s="177"/>
      <c r="L19" s="181" t="s">
        <v>23</v>
      </c>
      <c r="M19" s="177"/>
      <c r="N19" s="177" t="s">
        <v>21</v>
      </c>
      <c r="O19"/>
      <c r="P19"/>
      <c r="Q19"/>
      <c r="R19"/>
    </row>
    <row r="20" spans="1:18" x14ac:dyDescent="0.35">
      <c r="A20" s="177" t="s">
        <v>1604</v>
      </c>
      <c r="B20" s="177" t="s">
        <v>1451</v>
      </c>
      <c r="C20" s="177" t="s">
        <v>2140</v>
      </c>
      <c r="D20" s="177" t="s">
        <v>1605</v>
      </c>
      <c r="E20" s="177"/>
      <c r="F20" s="177" t="s">
        <v>1606</v>
      </c>
      <c r="G20" s="177">
        <v>74551</v>
      </c>
      <c r="H20" s="177"/>
      <c r="I20" s="177" t="s">
        <v>1607</v>
      </c>
      <c r="J20" s="177">
        <v>2026</v>
      </c>
      <c r="K20" s="177" t="s">
        <v>78</v>
      </c>
      <c r="L20" s="179" t="s">
        <v>79</v>
      </c>
      <c r="M20" s="177"/>
      <c r="N20" s="177" t="s">
        <v>1606</v>
      </c>
      <c r="O20"/>
      <c r="P20"/>
      <c r="Q20"/>
      <c r="R20"/>
    </row>
    <row r="21" spans="1:18" x14ac:dyDescent="0.35">
      <c r="A21" s="177" t="s">
        <v>1608</v>
      </c>
      <c r="B21" s="177" t="s">
        <v>1451</v>
      </c>
      <c r="C21" s="177" t="s">
        <v>2140</v>
      </c>
      <c r="D21" s="177" t="s">
        <v>1609</v>
      </c>
      <c r="E21" s="177" t="s">
        <v>1610</v>
      </c>
      <c r="F21" s="177" t="s">
        <v>21</v>
      </c>
      <c r="G21" s="177">
        <v>38754</v>
      </c>
      <c r="H21" s="177"/>
      <c r="I21" s="177" t="s">
        <v>1518</v>
      </c>
      <c r="J21" s="177">
        <v>2015</v>
      </c>
      <c r="K21" s="177"/>
      <c r="L21" s="181" t="s">
        <v>23</v>
      </c>
      <c r="M21" s="177"/>
      <c r="N21" s="177" t="s">
        <v>21</v>
      </c>
      <c r="O21"/>
      <c r="P21"/>
      <c r="Q21"/>
      <c r="R21"/>
    </row>
    <row r="22" spans="1:18" x14ac:dyDescent="0.35">
      <c r="A22" s="177" t="s">
        <v>1613</v>
      </c>
      <c r="B22" s="177" t="s">
        <v>1451</v>
      </c>
      <c r="C22" s="177" t="s">
        <v>2140</v>
      </c>
      <c r="D22" s="177" t="s">
        <v>1614</v>
      </c>
      <c r="E22" s="177"/>
      <c r="F22" s="177" t="s">
        <v>413</v>
      </c>
      <c r="G22" s="177">
        <v>72323</v>
      </c>
      <c r="H22" s="177"/>
      <c r="I22" s="177" t="s">
        <v>1615</v>
      </c>
      <c r="J22" s="177">
        <v>2025</v>
      </c>
      <c r="K22" s="177" t="s">
        <v>78</v>
      </c>
      <c r="L22" s="179" t="s">
        <v>79</v>
      </c>
      <c r="M22" s="177"/>
      <c r="N22" s="177" t="s">
        <v>413</v>
      </c>
      <c r="O22"/>
      <c r="P22"/>
      <c r="Q22"/>
      <c r="R22"/>
    </row>
    <row r="23" spans="1:18" x14ac:dyDescent="0.35">
      <c r="A23" s="183" t="s">
        <v>2322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/>
      <c r="P23"/>
      <c r="Q23"/>
      <c r="R23"/>
    </row>
    <row r="24" spans="1:18" x14ac:dyDescent="0.35">
      <c r="A24" s="177" t="s">
        <v>1496</v>
      </c>
      <c r="B24" s="177" t="s">
        <v>1451</v>
      </c>
      <c r="C24" s="177" t="s">
        <v>2146</v>
      </c>
      <c r="D24" s="177" t="s">
        <v>1497</v>
      </c>
      <c r="E24" s="177" t="s">
        <v>1498</v>
      </c>
      <c r="F24" s="177" t="s">
        <v>21</v>
      </c>
      <c r="G24" s="177">
        <v>38741</v>
      </c>
      <c r="H24" s="177">
        <v>38741</v>
      </c>
      <c r="I24" s="177" t="s">
        <v>199</v>
      </c>
      <c r="J24" s="177">
        <v>2015</v>
      </c>
      <c r="K24" s="177" t="s">
        <v>651</v>
      </c>
      <c r="L24" s="178" t="s">
        <v>30</v>
      </c>
      <c r="M24" s="177"/>
      <c r="N24" s="177" t="s">
        <v>21</v>
      </c>
      <c r="O24"/>
      <c r="P24"/>
      <c r="Q24"/>
      <c r="R24"/>
    </row>
    <row r="25" spans="1:18" x14ac:dyDescent="0.35">
      <c r="A25" s="177" t="s">
        <v>1501</v>
      </c>
      <c r="B25" s="177" t="s">
        <v>1451</v>
      </c>
      <c r="C25" s="177" t="s">
        <v>2146</v>
      </c>
      <c r="D25" s="177" t="s">
        <v>1502</v>
      </c>
      <c r="E25" s="177" t="s">
        <v>1503</v>
      </c>
      <c r="F25" s="177" t="s">
        <v>21</v>
      </c>
      <c r="G25" s="177">
        <v>50886</v>
      </c>
      <c r="H25" s="177"/>
      <c r="I25" s="180">
        <v>44144</v>
      </c>
      <c r="J25" s="177">
        <v>2020</v>
      </c>
      <c r="K25" s="177" t="s">
        <v>1504</v>
      </c>
      <c r="L25" s="178" t="s">
        <v>30</v>
      </c>
      <c r="M25" s="177"/>
      <c r="N25" s="177" t="s">
        <v>21</v>
      </c>
      <c r="O25"/>
      <c r="P25"/>
      <c r="Q25"/>
      <c r="R25"/>
    </row>
    <row r="26" spans="1:18" x14ac:dyDescent="0.35">
      <c r="A26" s="177" t="s">
        <v>1505</v>
      </c>
      <c r="B26" s="177" t="s">
        <v>1451</v>
      </c>
      <c r="C26" s="177" t="s">
        <v>2146</v>
      </c>
      <c r="D26" s="177" t="s">
        <v>1506</v>
      </c>
      <c r="E26" s="177" t="s">
        <v>1507</v>
      </c>
      <c r="F26" s="177" t="s">
        <v>21</v>
      </c>
      <c r="G26" s="177">
        <v>36330</v>
      </c>
      <c r="H26" s="177">
        <v>36330</v>
      </c>
      <c r="I26" s="180">
        <v>41557</v>
      </c>
      <c r="J26" s="177">
        <v>2013</v>
      </c>
      <c r="K26" s="177" t="s">
        <v>252</v>
      </c>
      <c r="L26" s="178" t="s">
        <v>30</v>
      </c>
      <c r="M26" s="177"/>
      <c r="N26" s="177" t="s">
        <v>21</v>
      </c>
      <c r="O26"/>
      <c r="P26"/>
      <c r="Q26"/>
      <c r="R26"/>
    </row>
    <row r="27" spans="1:18" x14ac:dyDescent="0.35">
      <c r="A27" s="177" t="s">
        <v>1508</v>
      </c>
      <c r="B27" s="177" t="s">
        <v>1451</v>
      </c>
      <c r="C27" s="177" t="s">
        <v>2146</v>
      </c>
      <c r="D27" s="177" t="s">
        <v>1509</v>
      </c>
      <c r="E27" s="177" t="s">
        <v>153</v>
      </c>
      <c r="F27" s="177" t="s">
        <v>21</v>
      </c>
      <c r="G27" s="177">
        <v>38729</v>
      </c>
      <c r="H27" s="177">
        <v>38729</v>
      </c>
      <c r="I27" s="177" t="s">
        <v>199</v>
      </c>
      <c r="J27" s="177">
        <v>2015</v>
      </c>
      <c r="K27" s="177" t="s">
        <v>651</v>
      </c>
      <c r="L27" s="178" t="s">
        <v>30</v>
      </c>
      <c r="M27" s="177"/>
      <c r="N27" s="177" t="s">
        <v>21</v>
      </c>
      <c r="O27"/>
      <c r="P27"/>
      <c r="Q27"/>
      <c r="R27"/>
    </row>
    <row r="28" spans="1:18" x14ac:dyDescent="0.35">
      <c r="A28" s="177" t="s">
        <v>1510</v>
      </c>
      <c r="B28" s="177" t="s">
        <v>1451</v>
      </c>
      <c r="C28" s="177" t="s">
        <v>2146</v>
      </c>
      <c r="D28" s="177" t="s">
        <v>1511</v>
      </c>
      <c r="E28" s="177" t="s">
        <v>1512</v>
      </c>
      <c r="F28" s="177" t="s">
        <v>21</v>
      </c>
      <c r="G28" s="177">
        <v>38373</v>
      </c>
      <c r="H28" s="177">
        <v>38373</v>
      </c>
      <c r="I28" s="180">
        <v>42072</v>
      </c>
      <c r="J28" s="177">
        <v>2015</v>
      </c>
      <c r="K28" s="177" t="s">
        <v>236</v>
      </c>
      <c r="L28" s="178" t="s">
        <v>30</v>
      </c>
      <c r="M28" s="177"/>
      <c r="N28" s="177" t="s">
        <v>21</v>
      </c>
      <c r="O28"/>
      <c r="P28"/>
      <c r="Q28"/>
      <c r="R28"/>
    </row>
    <row r="29" spans="1:18" x14ac:dyDescent="0.35">
      <c r="A29" s="177" t="s">
        <v>1513</v>
      </c>
      <c r="B29" s="177" t="s">
        <v>1451</v>
      </c>
      <c r="C29" s="177" t="s">
        <v>2146</v>
      </c>
      <c r="D29" s="177" t="s">
        <v>1514</v>
      </c>
      <c r="E29" s="177" t="s">
        <v>1515</v>
      </c>
      <c r="F29" s="177" t="s">
        <v>21</v>
      </c>
      <c r="G29" s="177">
        <v>37437</v>
      </c>
      <c r="H29" s="177">
        <v>37347</v>
      </c>
      <c r="I29" s="177" t="s">
        <v>154</v>
      </c>
      <c r="J29" s="177">
        <v>2014</v>
      </c>
      <c r="K29" s="177" t="s">
        <v>155</v>
      </c>
      <c r="L29" s="178" t="s">
        <v>30</v>
      </c>
      <c r="M29" s="177"/>
      <c r="N29" s="177" t="s">
        <v>21</v>
      </c>
      <c r="O29"/>
      <c r="P29"/>
      <c r="Q29"/>
      <c r="R29"/>
    </row>
    <row r="30" spans="1:18" x14ac:dyDescent="0.35">
      <c r="A30" s="177" t="s">
        <v>1516</v>
      </c>
      <c r="B30" s="177" t="s">
        <v>1451</v>
      </c>
      <c r="C30" s="177" t="s">
        <v>2146</v>
      </c>
      <c r="D30" s="177" t="s">
        <v>1517</v>
      </c>
      <c r="E30" s="177" t="s">
        <v>153</v>
      </c>
      <c r="F30" s="177" t="s">
        <v>21</v>
      </c>
      <c r="G30" s="177">
        <v>38755</v>
      </c>
      <c r="H30" s="177"/>
      <c r="I30" s="177" t="s">
        <v>1518</v>
      </c>
      <c r="J30" s="177">
        <v>2015</v>
      </c>
      <c r="K30" s="177"/>
      <c r="L30" s="181" t="s">
        <v>23</v>
      </c>
      <c r="M30" s="177"/>
      <c r="N30" s="177" t="s">
        <v>21</v>
      </c>
      <c r="O30"/>
      <c r="P30"/>
      <c r="Q30"/>
      <c r="R30"/>
    </row>
    <row r="31" spans="1:18" x14ac:dyDescent="0.35">
      <c r="A31" s="177" t="s">
        <v>1519</v>
      </c>
      <c r="B31" s="177" t="s">
        <v>1451</v>
      </c>
      <c r="C31" s="177" t="s">
        <v>2146</v>
      </c>
      <c r="D31" s="177" t="s">
        <v>1520</v>
      </c>
      <c r="E31" s="177" t="s">
        <v>1521</v>
      </c>
      <c r="F31" s="177" t="s">
        <v>21</v>
      </c>
      <c r="G31" s="177">
        <v>55254</v>
      </c>
      <c r="H31" s="177"/>
      <c r="I31" s="177" t="s">
        <v>1522</v>
      </c>
      <c r="J31" s="177">
        <v>2021</v>
      </c>
      <c r="K31" s="177"/>
      <c r="L31" s="181" t="s">
        <v>23</v>
      </c>
      <c r="M31" s="177"/>
      <c r="N31" s="177" t="s">
        <v>21</v>
      </c>
      <c r="O31"/>
      <c r="P31"/>
      <c r="Q31"/>
      <c r="R31"/>
    </row>
    <row r="32" spans="1:18" x14ac:dyDescent="0.35">
      <c r="A32" s="177" t="s">
        <v>1523</v>
      </c>
      <c r="B32" s="177" t="s">
        <v>1451</v>
      </c>
      <c r="C32" s="177" t="s">
        <v>2146</v>
      </c>
      <c r="D32" s="177" t="s">
        <v>1524</v>
      </c>
      <c r="E32" s="177" t="s">
        <v>1525</v>
      </c>
      <c r="F32" s="177" t="s">
        <v>21</v>
      </c>
      <c r="G32" s="177">
        <v>39525</v>
      </c>
      <c r="H32" s="177">
        <v>39525</v>
      </c>
      <c r="I32" s="180">
        <v>42563</v>
      </c>
      <c r="J32" s="177">
        <v>2016</v>
      </c>
      <c r="K32" s="177" t="s">
        <v>125</v>
      </c>
      <c r="L32" s="178" t="s">
        <v>30</v>
      </c>
      <c r="M32" s="177"/>
      <c r="N32" s="177" t="s">
        <v>21</v>
      </c>
      <c r="O32"/>
      <c r="P32"/>
      <c r="Q32"/>
      <c r="R32"/>
    </row>
    <row r="33" spans="1:18" x14ac:dyDescent="0.35">
      <c r="A33" s="177" t="s">
        <v>1526</v>
      </c>
      <c r="B33" s="177" t="s">
        <v>1451</v>
      </c>
      <c r="C33" s="177" t="s">
        <v>2146</v>
      </c>
      <c r="D33" s="177" t="s">
        <v>1527</v>
      </c>
      <c r="E33" s="177" t="s">
        <v>1528</v>
      </c>
      <c r="F33" s="177" t="s">
        <v>21</v>
      </c>
      <c r="G33" s="177">
        <v>47829</v>
      </c>
      <c r="H33" s="177"/>
      <c r="I33" s="177" t="s">
        <v>716</v>
      </c>
      <c r="J33" s="177">
        <v>2019</v>
      </c>
      <c r="K33" s="177" t="s">
        <v>403</v>
      </c>
      <c r="L33" s="178" t="s">
        <v>30</v>
      </c>
      <c r="M33" s="177"/>
      <c r="N33" s="177" t="s">
        <v>21</v>
      </c>
      <c r="O33"/>
      <c r="P33"/>
      <c r="Q33"/>
      <c r="R33"/>
    </row>
    <row r="34" spans="1:18" x14ac:dyDescent="0.35">
      <c r="A34" s="177" t="s">
        <v>1529</v>
      </c>
      <c r="B34" s="177" t="s">
        <v>1451</v>
      </c>
      <c r="C34" s="177" t="s">
        <v>2146</v>
      </c>
      <c r="D34" s="177" t="s">
        <v>1530</v>
      </c>
      <c r="E34" s="177" t="s">
        <v>1531</v>
      </c>
      <c r="F34" s="177" t="s">
        <v>21</v>
      </c>
      <c r="G34" s="177">
        <v>41742</v>
      </c>
      <c r="H34" s="177">
        <v>41742</v>
      </c>
      <c r="I34" s="177" t="s">
        <v>219</v>
      </c>
      <c r="J34" s="177">
        <v>2017</v>
      </c>
      <c r="K34" s="177" t="s">
        <v>220</v>
      </c>
      <c r="L34" s="178" t="s">
        <v>30</v>
      </c>
      <c r="M34" s="177"/>
      <c r="N34" s="177" t="s">
        <v>21</v>
      </c>
      <c r="O34"/>
      <c r="P34"/>
      <c r="Q34"/>
      <c r="R34"/>
    </row>
    <row r="35" spans="1:18" x14ac:dyDescent="0.35">
      <c r="A35" s="177" t="s">
        <v>1535</v>
      </c>
      <c r="B35" s="177" t="s">
        <v>1451</v>
      </c>
      <c r="C35" s="177" t="s">
        <v>2146</v>
      </c>
      <c r="D35" s="177" t="s">
        <v>1536</v>
      </c>
      <c r="E35" s="177" t="s">
        <v>1537</v>
      </c>
      <c r="F35" s="177" t="s">
        <v>21</v>
      </c>
      <c r="G35" s="177">
        <v>35508</v>
      </c>
      <c r="H35" s="177">
        <v>35294</v>
      </c>
      <c r="I35" s="177" t="s">
        <v>444</v>
      </c>
      <c r="J35" s="177">
        <v>2012</v>
      </c>
      <c r="K35" s="177" t="s">
        <v>445</v>
      </c>
      <c r="L35" s="178" t="s">
        <v>30</v>
      </c>
      <c r="M35" s="177"/>
      <c r="N35" s="177" t="s">
        <v>21</v>
      </c>
      <c r="O35"/>
      <c r="P35"/>
      <c r="Q35"/>
      <c r="R35"/>
    </row>
    <row r="36" spans="1:18" x14ac:dyDescent="0.35">
      <c r="A36" s="177" t="s">
        <v>1538</v>
      </c>
      <c r="B36" s="177" t="s">
        <v>1451</v>
      </c>
      <c r="C36" s="177" t="s">
        <v>2146</v>
      </c>
      <c r="D36" s="177" t="s">
        <v>1539</v>
      </c>
      <c r="E36" s="177" t="s">
        <v>1540</v>
      </c>
      <c r="F36" s="177" t="s">
        <v>21</v>
      </c>
      <c r="G36" s="177">
        <v>35213</v>
      </c>
      <c r="H36" s="177">
        <v>35216</v>
      </c>
      <c r="I36" s="177" t="s">
        <v>1091</v>
      </c>
      <c r="J36" s="177">
        <v>2012</v>
      </c>
      <c r="K36" s="177" t="s">
        <v>66</v>
      </c>
      <c r="L36" s="178" t="s">
        <v>30</v>
      </c>
      <c r="M36" s="177"/>
      <c r="N36" s="177" t="s">
        <v>21</v>
      </c>
      <c r="O36"/>
      <c r="P36"/>
      <c r="Q36"/>
      <c r="R36"/>
    </row>
    <row r="37" spans="1:18" x14ac:dyDescent="0.35">
      <c r="A37" s="177" t="s">
        <v>1541</v>
      </c>
      <c r="B37" s="177" t="s">
        <v>1451</v>
      </c>
      <c r="C37" s="177" t="s">
        <v>2146</v>
      </c>
      <c r="D37" s="177" t="s">
        <v>1542</v>
      </c>
      <c r="E37" s="177" t="s">
        <v>1543</v>
      </c>
      <c r="F37" s="177" t="s">
        <v>21</v>
      </c>
      <c r="G37" s="177">
        <v>37434</v>
      </c>
      <c r="H37" s="177">
        <v>37434</v>
      </c>
      <c r="I37" s="177" t="s">
        <v>154</v>
      </c>
      <c r="J37" s="177">
        <v>2014</v>
      </c>
      <c r="K37" s="177" t="s">
        <v>155</v>
      </c>
      <c r="L37" s="178" t="s">
        <v>30</v>
      </c>
      <c r="M37" s="177"/>
      <c r="N37" s="177" t="s">
        <v>21</v>
      </c>
      <c r="O37"/>
      <c r="P37"/>
      <c r="Q37"/>
      <c r="R37"/>
    </row>
    <row r="38" spans="1:18" x14ac:dyDescent="0.35">
      <c r="A38" s="177" t="s">
        <v>1544</v>
      </c>
      <c r="B38" s="177" t="s">
        <v>1451</v>
      </c>
      <c r="C38" s="177" t="s">
        <v>2146</v>
      </c>
      <c r="D38" s="177" t="s">
        <v>1545</v>
      </c>
      <c r="E38" s="177" t="s">
        <v>1546</v>
      </c>
      <c r="F38" s="177" t="s">
        <v>21</v>
      </c>
      <c r="G38" s="177">
        <v>37783</v>
      </c>
      <c r="H38" s="177">
        <v>37783</v>
      </c>
      <c r="I38" s="177" t="s">
        <v>1547</v>
      </c>
      <c r="J38" s="177">
        <v>2015</v>
      </c>
      <c r="K38" s="177" t="s">
        <v>584</v>
      </c>
      <c r="L38" s="178" t="s">
        <v>30</v>
      </c>
      <c r="M38" s="177"/>
      <c r="N38" s="177" t="s">
        <v>21</v>
      </c>
      <c r="O38"/>
      <c r="P38"/>
      <c r="Q38"/>
      <c r="R38"/>
    </row>
    <row r="39" spans="1:18" x14ac:dyDescent="0.35">
      <c r="A39" s="177" t="s">
        <v>1611</v>
      </c>
      <c r="B39" s="177" t="s">
        <v>1451</v>
      </c>
      <c r="C39" s="177" t="s">
        <v>2146</v>
      </c>
      <c r="D39" s="177" t="s">
        <v>1612</v>
      </c>
      <c r="E39" s="177"/>
      <c r="F39" s="177" t="s">
        <v>103</v>
      </c>
      <c r="G39" s="177">
        <v>71490</v>
      </c>
      <c r="H39" s="177"/>
      <c r="I39" s="177" t="s">
        <v>1399</v>
      </c>
      <c r="J39" s="177">
        <v>2025</v>
      </c>
      <c r="K39" s="177" t="s">
        <v>78</v>
      </c>
      <c r="L39" s="179" t="s">
        <v>79</v>
      </c>
      <c r="M39" s="177"/>
      <c r="N39" s="177" t="s">
        <v>103</v>
      </c>
      <c r="O39"/>
      <c r="P39"/>
      <c r="Q39"/>
      <c r="R39"/>
    </row>
    <row r="40" spans="1:18" x14ac:dyDescent="0.35">
      <c r="A40" s="177" t="s">
        <v>1548</v>
      </c>
      <c r="B40" s="177" t="s">
        <v>1451</v>
      </c>
      <c r="C40" s="177" t="s">
        <v>2146</v>
      </c>
      <c r="D40" s="177" t="s">
        <v>1549</v>
      </c>
      <c r="E40" s="177" t="s">
        <v>153</v>
      </c>
      <c r="F40" s="177" t="s">
        <v>21</v>
      </c>
      <c r="G40" s="177">
        <v>37436</v>
      </c>
      <c r="H40" s="177">
        <v>37436</v>
      </c>
      <c r="I40" s="177" t="s">
        <v>154</v>
      </c>
      <c r="J40" s="177">
        <v>2014</v>
      </c>
      <c r="K40" s="177" t="s">
        <v>155</v>
      </c>
      <c r="L40" s="178" t="s">
        <v>30</v>
      </c>
      <c r="M40" s="177"/>
      <c r="N40" s="177" t="s">
        <v>21</v>
      </c>
      <c r="O40"/>
      <c r="P40"/>
      <c r="Q40"/>
      <c r="R40"/>
    </row>
    <row r="41" spans="1:18" x14ac:dyDescent="0.35">
      <c r="A41" s="183" t="s">
        <v>2323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/>
      <c r="P41"/>
      <c r="Q41"/>
      <c r="R41"/>
    </row>
    <row r="42" spans="1:18" x14ac:dyDescent="0.35">
      <c r="A42" s="177" t="s">
        <v>1590</v>
      </c>
      <c r="B42" s="177" t="s">
        <v>1451</v>
      </c>
      <c r="C42" s="177" t="s">
        <v>2169</v>
      </c>
      <c r="D42" s="177" t="s">
        <v>1591</v>
      </c>
      <c r="E42" s="177" t="s">
        <v>1592</v>
      </c>
      <c r="F42" s="177" t="s">
        <v>21</v>
      </c>
      <c r="G42" s="177">
        <v>36963</v>
      </c>
      <c r="H42" s="177">
        <v>36963</v>
      </c>
      <c r="I42" s="177" t="s">
        <v>268</v>
      </c>
      <c r="J42" s="177">
        <v>2014</v>
      </c>
      <c r="K42" s="177" t="s">
        <v>269</v>
      </c>
      <c r="L42" s="178" t="s">
        <v>30</v>
      </c>
      <c r="M42" s="177"/>
      <c r="N42" s="177" t="s">
        <v>21</v>
      </c>
      <c r="O42"/>
      <c r="P42"/>
      <c r="Q42"/>
      <c r="R42"/>
    </row>
    <row r="43" spans="1:18" x14ac:dyDescent="0.35">
      <c r="A43" s="183" t="s">
        <v>2324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/>
      <c r="P43"/>
      <c r="Q43"/>
      <c r="R43"/>
    </row>
    <row r="44" spans="1:18" x14ac:dyDescent="0.35">
      <c r="A44" s="177" t="s">
        <v>1550</v>
      </c>
      <c r="B44" s="177" t="s">
        <v>1451</v>
      </c>
      <c r="C44" s="177" t="s">
        <v>2171</v>
      </c>
      <c r="D44" s="177" t="s">
        <v>1551</v>
      </c>
      <c r="E44" s="177" t="s">
        <v>1552</v>
      </c>
      <c r="F44" s="177" t="s">
        <v>21</v>
      </c>
      <c r="G44" s="177">
        <v>36867</v>
      </c>
      <c r="H44" s="177"/>
      <c r="I44" s="177" t="s">
        <v>1095</v>
      </c>
      <c r="J44" s="177">
        <v>2014</v>
      </c>
      <c r="K44" s="177"/>
      <c r="L44" s="181" t="s">
        <v>23</v>
      </c>
      <c r="M44" s="177"/>
      <c r="N44" s="177" t="s">
        <v>21</v>
      </c>
      <c r="O44"/>
      <c r="P44"/>
      <c r="Q44"/>
      <c r="R44"/>
    </row>
    <row r="45" spans="1:18" x14ac:dyDescent="0.35">
      <c r="A45" s="177" t="s">
        <v>1575</v>
      </c>
      <c r="B45" s="177" t="s">
        <v>1451</v>
      </c>
      <c r="C45" s="177" t="s">
        <v>2171</v>
      </c>
      <c r="D45" s="177" t="s">
        <v>1576</v>
      </c>
      <c r="E45" s="177"/>
      <c r="F45" s="177" t="s">
        <v>419</v>
      </c>
      <c r="G45" s="177" t="s">
        <v>1577</v>
      </c>
      <c r="H45" s="177"/>
      <c r="I45" s="177" t="s">
        <v>1192</v>
      </c>
      <c r="J45" s="177">
        <v>2024</v>
      </c>
      <c r="K45" s="177" t="s">
        <v>78</v>
      </c>
      <c r="L45" s="179" t="s">
        <v>79</v>
      </c>
      <c r="M45" s="177"/>
      <c r="N45" s="177" t="s">
        <v>419</v>
      </c>
      <c r="O45"/>
      <c r="P45"/>
      <c r="Q45"/>
      <c r="R45"/>
    </row>
    <row r="46" spans="1:18" x14ac:dyDescent="0.35">
      <c r="A46" s="177" t="s">
        <v>1553</v>
      </c>
      <c r="B46" s="177" t="s">
        <v>1451</v>
      </c>
      <c r="C46" s="177" t="s">
        <v>2171</v>
      </c>
      <c r="D46" s="177" t="s">
        <v>1554</v>
      </c>
      <c r="E46" s="177" t="s">
        <v>1555</v>
      </c>
      <c r="F46" s="177" t="s">
        <v>21</v>
      </c>
      <c r="G46" s="177">
        <v>38040</v>
      </c>
      <c r="H46" s="177">
        <v>38040</v>
      </c>
      <c r="I46" s="177" t="s">
        <v>1457</v>
      </c>
      <c r="J46" s="177">
        <v>2015</v>
      </c>
      <c r="K46" s="177" t="s">
        <v>584</v>
      </c>
      <c r="L46" s="178" t="s">
        <v>30</v>
      </c>
      <c r="M46" s="177"/>
      <c r="N46" s="177" t="s">
        <v>21</v>
      </c>
      <c r="O46"/>
      <c r="P46"/>
      <c r="Q46"/>
      <c r="R46"/>
    </row>
    <row r="47" spans="1:18" x14ac:dyDescent="0.35">
      <c r="A47" s="177" t="s">
        <v>1454</v>
      </c>
      <c r="B47" s="177" t="s">
        <v>1451</v>
      </c>
      <c r="C47" s="177" t="s">
        <v>2171</v>
      </c>
      <c r="D47" s="177" t="s">
        <v>1455</v>
      </c>
      <c r="E47" s="177" t="s">
        <v>1456</v>
      </c>
      <c r="F47" s="177" t="s">
        <v>21</v>
      </c>
      <c r="G47" s="177">
        <v>38041</v>
      </c>
      <c r="H47" s="177">
        <v>38041</v>
      </c>
      <c r="I47" s="177" t="s">
        <v>1457</v>
      </c>
      <c r="J47" s="177">
        <v>2015</v>
      </c>
      <c r="K47" s="177" t="s">
        <v>584</v>
      </c>
      <c r="L47" s="178" t="s">
        <v>30</v>
      </c>
      <c r="M47" s="177"/>
      <c r="N47" s="177" t="s">
        <v>21</v>
      </c>
      <c r="O47"/>
      <c r="P47"/>
      <c r="Q47"/>
      <c r="R47"/>
    </row>
    <row r="48" spans="1:18" x14ac:dyDescent="0.35">
      <c r="A48" s="177" t="s">
        <v>1556</v>
      </c>
      <c r="B48" s="177" t="s">
        <v>1451</v>
      </c>
      <c r="C48" s="177" t="s">
        <v>2171</v>
      </c>
      <c r="D48" s="177" t="s">
        <v>1557</v>
      </c>
      <c r="E48" s="177" t="s">
        <v>1558</v>
      </c>
      <c r="F48" s="177" t="s">
        <v>21</v>
      </c>
      <c r="G48" s="177">
        <v>36331</v>
      </c>
      <c r="H48" s="177">
        <v>36331</v>
      </c>
      <c r="I48" s="180">
        <v>41557</v>
      </c>
      <c r="J48" s="177">
        <v>2013</v>
      </c>
      <c r="K48" s="177" t="s">
        <v>252</v>
      </c>
      <c r="L48" s="178" t="s">
        <v>30</v>
      </c>
      <c r="M48" s="177"/>
      <c r="N48" s="177" t="s">
        <v>21</v>
      </c>
      <c r="O48"/>
      <c r="P48"/>
      <c r="Q48"/>
      <c r="R48"/>
    </row>
    <row r="49" spans="1:18" x14ac:dyDescent="0.35">
      <c r="A49" s="177" t="s">
        <v>1593</v>
      </c>
      <c r="B49" s="177" t="s">
        <v>1451</v>
      </c>
      <c r="C49" s="177" t="s">
        <v>2171</v>
      </c>
      <c r="D49" s="177" t="s">
        <v>1594</v>
      </c>
      <c r="E49" s="177"/>
      <c r="F49" s="177" t="s">
        <v>419</v>
      </c>
      <c r="G49" s="177" t="s">
        <v>1595</v>
      </c>
      <c r="H49" s="177"/>
      <c r="I49" s="177" t="s">
        <v>1596</v>
      </c>
      <c r="J49" s="177">
        <v>2023</v>
      </c>
      <c r="K49" s="177" t="s">
        <v>106</v>
      </c>
      <c r="L49" s="182" t="s">
        <v>107</v>
      </c>
      <c r="M49" s="177"/>
      <c r="N49" s="177" t="s">
        <v>419</v>
      </c>
      <c r="O49"/>
      <c r="P49"/>
      <c r="Q49"/>
      <c r="R49"/>
    </row>
    <row r="50" spans="1:18" x14ac:dyDescent="0.35">
      <c r="A50" s="177" t="s">
        <v>1562</v>
      </c>
      <c r="B50" s="177" t="s">
        <v>1451</v>
      </c>
      <c r="C50" s="177" t="s">
        <v>2171</v>
      </c>
      <c r="D50" s="177" t="s">
        <v>1563</v>
      </c>
      <c r="E50" s="177" t="s">
        <v>1564</v>
      </c>
      <c r="F50" s="177" t="s">
        <v>21</v>
      </c>
      <c r="G50" s="177">
        <v>35014</v>
      </c>
      <c r="H50" s="177">
        <v>34793</v>
      </c>
      <c r="I50" s="177" t="s">
        <v>65</v>
      </c>
      <c r="J50" s="177">
        <v>2012</v>
      </c>
      <c r="K50" s="177" t="s">
        <v>66</v>
      </c>
      <c r="L50" s="178" t="s">
        <v>30</v>
      </c>
      <c r="M50" s="177"/>
      <c r="N50" s="177" t="s">
        <v>21</v>
      </c>
      <c r="O50"/>
      <c r="P50"/>
      <c r="Q50"/>
      <c r="R50"/>
    </row>
    <row r="51" spans="1:18" x14ac:dyDescent="0.35">
      <c r="A51" s="177" t="s">
        <v>1462</v>
      </c>
      <c r="B51" s="177" t="s">
        <v>1451</v>
      </c>
      <c r="C51" s="177" t="s">
        <v>2171</v>
      </c>
      <c r="D51" s="177" t="s">
        <v>1463</v>
      </c>
      <c r="E51" s="177" t="s">
        <v>1464</v>
      </c>
      <c r="F51" s="177" t="s">
        <v>21</v>
      </c>
      <c r="G51" s="177">
        <v>47390</v>
      </c>
      <c r="H51" s="177"/>
      <c r="I51" s="177" t="s">
        <v>1465</v>
      </c>
      <c r="J51" s="177">
        <v>2019</v>
      </c>
      <c r="K51" s="177" t="s">
        <v>1466</v>
      </c>
      <c r="L51" s="178" t="s">
        <v>30</v>
      </c>
      <c r="M51" s="177"/>
      <c r="N51" s="177" t="s">
        <v>21</v>
      </c>
      <c r="O51"/>
      <c r="P51"/>
      <c r="Q51"/>
      <c r="R51"/>
    </row>
    <row r="52" spans="1:18" x14ac:dyDescent="0.35">
      <c r="A52" s="177" t="s">
        <v>1597</v>
      </c>
      <c r="B52" s="177" t="s">
        <v>1451</v>
      </c>
      <c r="C52" s="177" t="s">
        <v>2171</v>
      </c>
      <c r="D52" s="177" t="s">
        <v>1598</v>
      </c>
      <c r="E52" s="177" t="s">
        <v>1599</v>
      </c>
      <c r="F52" s="177" t="s">
        <v>21</v>
      </c>
      <c r="G52" s="177">
        <v>41071</v>
      </c>
      <c r="H52" s="177">
        <v>41071</v>
      </c>
      <c r="I52" s="180">
        <v>42925</v>
      </c>
      <c r="J52" s="177">
        <v>2017</v>
      </c>
      <c r="K52" s="177" t="s">
        <v>220</v>
      </c>
      <c r="L52" s="178" t="s">
        <v>30</v>
      </c>
      <c r="M52" s="177"/>
      <c r="N52" s="177" t="s">
        <v>21</v>
      </c>
      <c r="O52"/>
      <c r="P52"/>
      <c r="Q52"/>
      <c r="R52"/>
    </row>
    <row r="53" spans="1:18" x14ac:dyDescent="0.35">
      <c r="A53" s="177" t="s">
        <v>1565</v>
      </c>
      <c r="B53" s="177" t="s">
        <v>1451</v>
      </c>
      <c r="C53" s="177" t="s">
        <v>2171</v>
      </c>
      <c r="D53" s="177" t="s">
        <v>1566</v>
      </c>
      <c r="E53" s="177" t="s">
        <v>1567</v>
      </c>
      <c r="F53" s="177" t="s">
        <v>21</v>
      </c>
      <c r="G53" s="177">
        <v>54003</v>
      </c>
      <c r="H53" s="177"/>
      <c r="I53" s="177"/>
      <c r="J53" s="177"/>
      <c r="K53" s="177"/>
      <c r="L53" s="181" t="s">
        <v>23</v>
      </c>
      <c r="M53" s="177"/>
      <c r="N53" s="177" t="s">
        <v>21</v>
      </c>
      <c r="O53"/>
      <c r="P53"/>
      <c r="Q53"/>
      <c r="R53"/>
    </row>
    <row r="54" spans="1:18" x14ac:dyDescent="0.35">
      <c r="A54" s="177" t="s">
        <v>1467</v>
      </c>
      <c r="B54" s="177" t="s">
        <v>1451</v>
      </c>
      <c r="C54" s="177" t="s">
        <v>2171</v>
      </c>
      <c r="D54" s="177" t="s">
        <v>1468</v>
      </c>
      <c r="E54" s="177" t="s">
        <v>1456</v>
      </c>
      <c r="F54" s="177" t="s">
        <v>21</v>
      </c>
      <c r="G54" s="177">
        <v>38055</v>
      </c>
      <c r="H54" s="177">
        <v>38055</v>
      </c>
      <c r="I54" s="177" t="s">
        <v>1469</v>
      </c>
      <c r="J54" s="177">
        <v>2015</v>
      </c>
      <c r="K54" s="177" t="s">
        <v>584</v>
      </c>
      <c r="L54" s="178" t="s">
        <v>30</v>
      </c>
      <c r="M54" s="177"/>
      <c r="N54" s="177" t="s">
        <v>21</v>
      </c>
      <c r="O54"/>
      <c r="P54"/>
      <c r="Q54"/>
      <c r="R54"/>
    </row>
    <row r="55" spans="1:18" x14ac:dyDescent="0.35">
      <c r="A55" s="177" t="s">
        <v>1568</v>
      </c>
      <c r="B55" s="177" t="s">
        <v>1451</v>
      </c>
      <c r="C55" s="177" t="s">
        <v>2171</v>
      </c>
      <c r="D55" s="177" t="s">
        <v>1569</v>
      </c>
      <c r="E55" s="177" t="s">
        <v>1570</v>
      </c>
      <c r="F55" s="177" t="s">
        <v>21</v>
      </c>
      <c r="G55" s="177">
        <v>36538</v>
      </c>
      <c r="H55" s="177">
        <v>36538</v>
      </c>
      <c r="I55" s="180">
        <v>41437</v>
      </c>
      <c r="J55" s="177">
        <v>2013</v>
      </c>
      <c r="K55" s="177" t="s">
        <v>203</v>
      </c>
      <c r="L55" s="178" t="s">
        <v>30</v>
      </c>
      <c r="M55" s="177"/>
      <c r="N55" s="177" t="s">
        <v>21</v>
      </c>
      <c r="O55"/>
      <c r="P55"/>
      <c r="Q55"/>
      <c r="R55"/>
    </row>
    <row r="56" spans="1:18" x14ac:dyDescent="0.35">
      <c r="A56" s="183" t="s">
        <v>2325</v>
      </c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/>
      <c r="P56"/>
      <c r="Q56"/>
      <c r="R56"/>
    </row>
    <row r="57" spans="1:18" x14ac:dyDescent="0.35">
      <c r="A57" s="177" t="s">
        <v>1499</v>
      </c>
      <c r="B57" s="177" t="s">
        <v>1451</v>
      </c>
      <c r="C57" s="177" t="s">
        <v>2185</v>
      </c>
      <c r="D57" s="177" t="s">
        <v>1500</v>
      </c>
      <c r="E57" s="177"/>
      <c r="F57" s="177" t="s">
        <v>21</v>
      </c>
      <c r="G57" s="177">
        <v>35506</v>
      </c>
      <c r="H57" s="177"/>
      <c r="I57" s="177" t="s">
        <v>444</v>
      </c>
      <c r="J57" s="177">
        <v>2012</v>
      </c>
      <c r="K57" s="177"/>
      <c r="L57" s="181" t="s">
        <v>23</v>
      </c>
      <c r="M57" s="177"/>
      <c r="N57" s="177"/>
      <c r="O57"/>
      <c r="P57"/>
      <c r="Q57"/>
      <c r="R57"/>
    </row>
    <row r="58" spans="1:18" x14ac:dyDescent="0.35">
      <c r="A58" s="177" t="s">
        <v>1571</v>
      </c>
      <c r="B58" s="177" t="s">
        <v>1451</v>
      </c>
      <c r="C58" s="177" t="s">
        <v>2185</v>
      </c>
      <c r="D58" s="177" t="s">
        <v>1572</v>
      </c>
      <c r="E58" s="177"/>
      <c r="F58" s="177" t="s">
        <v>874</v>
      </c>
      <c r="G58" s="177" t="s">
        <v>1573</v>
      </c>
      <c r="H58" s="177"/>
      <c r="I58" s="180">
        <v>44260</v>
      </c>
      <c r="J58" s="177">
        <v>2021</v>
      </c>
      <c r="K58" s="177" t="s">
        <v>78</v>
      </c>
      <c r="L58" s="179" t="s">
        <v>79</v>
      </c>
      <c r="M58" s="177"/>
      <c r="N58" s="177" t="s">
        <v>874</v>
      </c>
      <c r="O58"/>
      <c r="P58"/>
      <c r="Q58"/>
      <c r="R58"/>
    </row>
    <row r="59" spans="1:18" x14ac:dyDescent="0.35">
      <c r="A59" s="177" t="s">
        <v>1532</v>
      </c>
      <c r="B59" s="177" t="s">
        <v>1451</v>
      </c>
      <c r="C59" s="177" t="s">
        <v>2185</v>
      </c>
      <c r="D59" s="177" t="s">
        <v>1533</v>
      </c>
      <c r="E59" s="177" t="s">
        <v>1534</v>
      </c>
      <c r="F59" s="177" t="s">
        <v>21</v>
      </c>
      <c r="G59" s="177">
        <v>41732</v>
      </c>
      <c r="H59" s="177">
        <v>41732</v>
      </c>
      <c r="I59" s="177" t="s">
        <v>711</v>
      </c>
      <c r="J59" s="177">
        <v>2017</v>
      </c>
      <c r="K59" s="177" t="s">
        <v>220</v>
      </c>
      <c r="L59" s="178" t="s">
        <v>30</v>
      </c>
      <c r="M59" s="177"/>
      <c r="N59" s="177" t="s">
        <v>21</v>
      </c>
      <c r="O59"/>
      <c r="P59"/>
      <c r="Q59"/>
      <c r="R59"/>
    </row>
    <row r="60" spans="1:18" x14ac:dyDescent="0.35">
      <c r="A60" s="183" t="s">
        <v>2326</v>
      </c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/>
      <c r="P60"/>
      <c r="Q60"/>
      <c r="R60"/>
    </row>
    <row r="61" spans="1:18" x14ac:dyDescent="0.35">
      <c r="A61" s="177" t="s">
        <v>1578</v>
      </c>
      <c r="B61" s="177" t="s">
        <v>1451</v>
      </c>
      <c r="C61" s="177" t="s">
        <v>2189</v>
      </c>
      <c r="D61" s="177" t="s">
        <v>1579</v>
      </c>
      <c r="E61" s="177"/>
      <c r="F61" s="177" t="s">
        <v>419</v>
      </c>
      <c r="G61" s="177">
        <v>72026</v>
      </c>
      <c r="H61" s="177"/>
      <c r="I61" s="177" t="s">
        <v>1580</v>
      </c>
      <c r="J61" s="177">
        <v>2025</v>
      </c>
      <c r="K61" s="177" t="s">
        <v>78</v>
      </c>
      <c r="L61" s="179" t="s">
        <v>79</v>
      </c>
      <c r="M61" s="177"/>
      <c r="N61" s="177" t="s">
        <v>419</v>
      </c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00"/>
  <sheetViews>
    <sheetView showGridLines="0" zoomScale="40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97.36328125" style="19" bestFit="1" customWidth="1"/>
    <col min="2" max="2" width="57.1796875" style="19" bestFit="1" customWidth="1"/>
    <col min="3" max="3" width="74.6328125" style="19" bestFit="1" customWidth="1"/>
    <col min="4" max="4" width="255.81640625" style="19" bestFit="1" customWidth="1"/>
    <col min="5" max="5" width="165.6328125" style="19" bestFit="1" customWidth="1"/>
    <col min="6" max="6" width="37.6328125" style="19" bestFit="1" customWidth="1"/>
    <col min="7" max="7" width="109.90625" style="19" bestFit="1" customWidth="1"/>
    <col min="8" max="8" width="111" style="19" bestFit="1" customWidth="1"/>
    <col min="9" max="9" width="22.36328125" style="19" bestFit="1" customWidth="1"/>
    <col min="10" max="10" width="11" style="19" bestFit="1" customWidth="1"/>
    <col min="11" max="11" width="52" style="19" bestFit="1" customWidth="1"/>
    <col min="12" max="12" width="36.81640625" style="19" bestFit="1" customWidth="1"/>
    <col min="13" max="13" width="50.36328125" style="19" bestFit="1" customWidth="1"/>
    <col min="14" max="14" width="255.81640625" style="19" bestFit="1" customWidth="1"/>
    <col min="15" max="15" width="8.08984375" style="19" bestFit="1" customWidth="1"/>
    <col min="16" max="16" width="16" style="19" bestFit="1" customWidth="1"/>
    <col min="17" max="17" width="29.90625" style="19" bestFit="1" customWidth="1"/>
    <col min="18" max="18" width="29.54296875" style="19" bestFit="1" customWidth="1"/>
    <col min="19" max="16384" width="8.90625" style="19"/>
  </cols>
  <sheetData>
    <row r="1" spans="1:18" x14ac:dyDescent="0.35">
      <c r="A1" s="288" t="s">
        <v>1755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1" t="s">
        <v>2327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/>
      <c r="P3"/>
      <c r="Q3"/>
      <c r="R3"/>
    </row>
    <row r="4" spans="1:18" x14ac:dyDescent="0.35">
      <c r="A4" s="177" t="s">
        <v>1616</v>
      </c>
      <c r="B4" s="177" t="s">
        <v>1617</v>
      </c>
      <c r="C4" s="177" t="s">
        <v>2192</v>
      </c>
      <c r="D4" s="177" t="s">
        <v>1618</v>
      </c>
      <c r="E4" s="177" t="s">
        <v>1619</v>
      </c>
      <c r="F4" s="177" t="s">
        <v>21</v>
      </c>
      <c r="G4" s="177" t="s">
        <v>1620</v>
      </c>
      <c r="H4" s="177">
        <v>56282</v>
      </c>
      <c r="I4" s="177" t="s">
        <v>260</v>
      </c>
      <c r="J4" s="177">
        <v>2022</v>
      </c>
      <c r="K4" s="177" t="s">
        <v>1621</v>
      </c>
      <c r="L4" s="181" t="s">
        <v>23</v>
      </c>
      <c r="M4" s="177" t="s">
        <v>94</v>
      </c>
      <c r="N4" s="177" t="s">
        <v>1622</v>
      </c>
      <c r="O4"/>
      <c r="P4"/>
      <c r="Q4"/>
      <c r="R4"/>
    </row>
    <row r="5" spans="1:18" x14ac:dyDescent="0.35">
      <c r="A5" s="177" t="s">
        <v>1690</v>
      </c>
      <c r="B5" s="177" t="s">
        <v>1617</v>
      </c>
      <c r="C5" s="177" t="s">
        <v>2192</v>
      </c>
      <c r="D5" s="177" t="s">
        <v>1691</v>
      </c>
      <c r="E5" s="177" t="s">
        <v>1692</v>
      </c>
      <c r="F5" s="177" t="s">
        <v>21</v>
      </c>
      <c r="G5" s="177">
        <v>55253</v>
      </c>
      <c r="H5" s="177"/>
      <c r="I5" s="177" t="s">
        <v>1522</v>
      </c>
      <c r="J5" s="177">
        <v>2021</v>
      </c>
      <c r="K5" s="177" t="s">
        <v>85</v>
      </c>
      <c r="L5" s="178" t="s">
        <v>30</v>
      </c>
      <c r="M5" s="177"/>
      <c r="N5" s="177" t="s">
        <v>21</v>
      </c>
      <c r="O5"/>
      <c r="P5"/>
      <c r="Q5"/>
      <c r="R5"/>
    </row>
    <row r="6" spans="1:18" x14ac:dyDescent="0.35">
      <c r="A6" s="177" t="s">
        <v>1644</v>
      </c>
      <c r="B6" s="177" t="s">
        <v>1617</v>
      </c>
      <c r="C6" s="177" t="s">
        <v>2192</v>
      </c>
      <c r="D6" s="177" t="s">
        <v>1645</v>
      </c>
      <c r="E6" s="177" t="s">
        <v>1646</v>
      </c>
      <c r="F6" s="177" t="s">
        <v>21</v>
      </c>
      <c r="G6" s="177">
        <v>55252</v>
      </c>
      <c r="H6" s="177"/>
      <c r="I6" s="177" t="s">
        <v>1522</v>
      </c>
      <c r="J6" s="177">
        <v>2021</v>
      </c>
      <c r="K6" s="177" t="s">
        <v>85</v>
      </c>
      <c r="L6" s="178" t="s">
        <v>30</v>
      </c>
      <c r="M6" s="177"/>
      <c r="N6" s="177" t="s">
        <v>21</v>
      </c>
      <c r="O6"/>
      <c r="P6"/>
      <c r="Q6"/>
      <c r="R6"/>
    </row>
    <row r="7" spans="1:18" x14ac:dyDescent="0.35">
      <c r="A7" s="177" t="s">
        <v>1647</v>
      </c>
      <c r="B7" s="177" t="s">
        <v>1617</v>
      </c>
      <c r="C7" s="177" t="s">
        <v>2192</v>
      </c>
      <c r="D7" s="177" t="s">
        <v>1648</v>
      </c>
      <c r="E7" s="177"/>
      <c r="F7" s="177" t="s">
        <v>103</v>
      </c>
      <c r="G7" s="177" t="s">
        <v>1649</v>
      </c>
      <c r="H7" s="177"/>
      <c r="I7" s="180">
        <v>45301</v>
      </c>
      <c r="J7" s="177">
        <v>2024</v>
      </c>
      <c r="K7" s="177" t="s">
        <v>106</v>
      </c>
      <c r="L7" s="182" t="s">
        <v>107</v>
      </c>
      <c r="M7" s="177"/>
      <c r="N7" s="177" t="s">
        <v>103</v>
      </c>
      <c r="O7"/>
      <c r="P7"/>
      <c r="Q7"/>
      <c r="R7"/>
    </row>
    <row r="8" spans="1:18" x14ac:dyDescent="0.35">
      <c r="A8" s="177" t="s">
        <v>1650</v>
      </c>
      <c r="B8" s="177" t="s">
        <v>1617</v>
      </c>
      <c r="C8" s="177" t="s">
        <v>2192</v>
      </c>
      <c r="D8" s="177" t="s">
        <v>1651</v>
      </c>
      <c r="E8" s="177"/>
      <c r="F8" s="177" t="s">
        <v>103</v>
      </c>
      <c r="G8" s="177" t="s">
        <v>1652</v>
      </c>
      <c r="H8" s="177"/>
      <c r="I8" s="180">
        <v>45544</v>
      </c>
      <c r="J8" s="177">
        <v>2024</v>
      </c>
      <c r="K8" s="177" t="s">
        <v>106</v>
      </c>
      <c r="L8" s="182" t="s">
        <v>107</v>
      </c>
      <c r="M8" s="177"/>
      <c r="N8" s="177" t="s">
        <v>103</v>
      </c>
      <c r="O8"/>
      <c r="P8"/>
      <c r="Q8"/>
      <c r="R8"/>
    </row>
    <row r="9" spans="1:18" x14ac:dyDescent="0.35">
      <c r="A9" s="177" t="s">
        <v>1673</v>
      </c>
      <c r="B9" s="177" t="s">
        <v>1617</v>
      </c>
      <c r="C9" s="177" t="s">
        <v>2192</v>
      </c>
      <c r="D9" s="177" t="s">
        <v>1674</v>
      </c>
      <c r="E9" s="177" t="s">
        <v>1675</v>
      </c>
      <c r="F9" s="177" t="s">
        <v>21</v>
      </c>
      <c r="G9" s="177">
        <v>37326</v>
      </c>
      <c r="H9" s="177">
        <v>37326</v>
      </c>
      <c r="I9" s="180">
        <v>41738</v>
      </c>
      <c r="J9" s="177">
        <v>2014</v>
      </c>
      <c r="K9" s="177" t="s">
        <v>155</v>
      </c>
      <c r="L9" s="178" t="s">
        <v>30</v>
      </c>
      <c r="M9" s="177"/>
      <c r="N9" s="177" t="s">
        <v>21</v>
      </c>
      <c r="O9"/>
      <c r="P9"/>
      <c r="Q9"/>
      <c r="R9"/>
    </row>
    <row r="10" spans="1:18" x14ac:dyDescent="0.35">
      <c r="A10" s="183" t="s">
        <v>2328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/>
      <c r="P10"/>
      <c r="Q10"/>
      <c r="R10"/>
    </row>
    <row r="11" spans="1:18" x14ac:dyDescent="0.35">
      <c r="A11" s="177" t="s">
        <v>1682</v>
      </c>
      <c r="B11" s="177" t="s">
        <v>1617</v>
      </c>
      <c r="C11" s="177" t="s">
        <v>2198</v>
      </c>
      <c r="D11" s="177" t="s">
        <v>1683</v>
      </c>
      <c r="E11" s="177"/>
      <c r="F11" s="177" t="s">
        <v>874</v>
      </c>
      <c r="G11" s="177">
        <v>71513</v>
      </c>
      <c r="H11" s="177"/>
      <c r="I11" s="177" t="s">
        <v>1684</v>
      </c>
      <c r="J11" s="177">
        <v>2025</v>
      </c>
      <c r="K11" s="177" t="s">
        <v>78</v>
      </c>
      <c r="L11" s="179" t="s">
        <v>79</v>
      </c>
      <c r="M11" s="177"/>
      <c r="N11" s="177" t="s">
        <v>874</v>
      </c>
      <c r="O11"/>
      <c r="P11"/>
      <c r="Q11"/>
      <c r="R11"/>
    </row>
    <row r="12" spans="1:18" x14ac:dyDescent="0.35">
      <c r="A12" s="177" t="s">
        <v>1686</v>
      </c>
      <c r="B12" s="177" t="s">
        <v>1617</v>
      </c>
      <c r="C12" s="177" t="s">
        <v>2198</v>
      </c>
      <c r="D12" s="177" t="s">
        <v>1687</v>
      </c>
      <c r="E12" s="177"/>
      <c r="F12" s="177" t="s">
        <v>874</v>
      </c>
      <c r="G12" s="177" t="s">
        <v>1688</v>
      </c>
      <c r="H12" s="177"/>
      <c r="I12" s="177" t="s">
        <v>1689</v>
      </c>
      <c r="J12" s="177">
        <v>2024</v>
      </c>
      <c r="K12" s="177" t="s">
        <v>78</v>
      </c>
      <c r="L12" s="179" t="s">
        <v>79</v>
      </c>
      <c r="M12" s="177"/>
      <c r="N12" s="177" t="s">
        <v>874</v>
      </c>
      <c r="O12"/>
      <c r="P12"/>
      <c r="Q12"/>
      <c r="R12"/>
    </row>
    <row r="13" spans="1:18" x14ac:dyDescent="0.35">
      <c r="A13" s="183" t="s">
        <v>2329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/>
      <c r="P13"/>
      <c r="Q13"/>
      <c r="R13"/>
    </row>
    <row r="14" spans="1:18" x14ac:dyDescent="0.35">
      <c r="A14" s="177" t="s">
        <v>1623</v>
      </c>
      <c r="B14" s="177" t="s">
        <v>1617</v>
      </c>
      <c r="C14" s="177" t="s">
        <v>2200</v>
      </c>
      <c r="D14" s="177" t="s">
        <v>1624</v>
      </c>
      <c r="E14" s="177" t="s">
        <v>202</v>
      </c>
      <c r="F14" s="177" t="s">
        <v>21</v>
      </c>
      <c r="G14" s="177">
        <v>37536</v>
      </c>
      <c r="H14" s="177">
        <v>37536</v>
      </c>
      <c r="I14" s="177" t="s">
        <v>392</v>
      </c>
      <c r="J14" s="177">
        <v>2014</v>
      </c>
      <c r="K14" s="177" t="s">
        <v>155</v>
      </c>
      <c r="L14" s="178" t="s">
        <v>30</v>
      </c>
      <c r="M14" s="177"/>
      <c r="N14" s="177" t="s">
        <v>21</v>
      </c>
      <c r="O14"/>
      <c r="P14"/>
      <c r="Q14"/>
      <c r="R14"/>
    </row>
    <row r="15" spans="1:18" x14ac:dyDescent="0.35">
      <c r="A15" s="177" t="s">
        <v>1625</v>
      </c>
      <c r="B15" s="177" t="s">
        <v>1617</v>
      </c>
      <c r="C15" s="177" t="s">
        <v>2200</v>
      </c>
      <c r="D15" s="177" t="s">
        <v>1626</v>
      </c>
      <c r="E15" s="177" t="s">
        <v>202</v>
      </c>
      <c r="F15" s="177" t="s">
        <v>21</v>
      </c>
      <c r="G15" s="177">
        <v>37535</v>
      </c>
      <c r="H15" s="177">
        <v>37535</v>
      </c>
      <c r="I15" s="177" t="s">
        <v>392</v>
      </c>
      <c r="J15" s="177">
        <v>2014</v>
      </c>
      <c r="K15" s="177" t="s">
        <v>155</v>
      </c>
      <c r="L15" s="178" t="s">
        <v>30</v>
      </c>
      <c r="M15" s="177"/>
      <c r="N15" s="177" t="s">
        <v>21</v>
      </c>
      <c r="O15"/>
      <c r="P15"/>
      <c r="Q15"/>
      <c r="R15"/>
    </row>
    <row r="16" spans="1:18" x14ac:dyDescent="0.35">
      <c r="A16" s="177" t="s">
        <v>1627</v>
      </c>
      <c r="B16" s="177" t="s">
        <v>1617</v>
      </c>
      <c r="C16" s="177" t="s">
        <v>2200</v>
      </c>
      <c r="D16" s="177" t="s">
        <v>1628</v>
      </c>
      <c r="E16" s="177"/>
      <c r="F16" s="177" t="s">
        <v>413</v>
      </c>
      <c r="G16" s="177">
        <v>73609</v>
      </c>
      <c r="H16" s="177"/>
      <c r="I16" s="180">
        <v>45789</v>
      </c>
      <c r="J16" s="177">
        <v>2025</v>
      </c>
      <c r="K16" s="177" t="s">
        <v>78</v>
      </c>
      <c r="L16" s="179" t="s">
        <v>79</v>
      </c>
      <c r="M16" s="177"/>
      <c r="N16" s="177" t="s">
        <v>413</v>
      </c>
      <c r="O16"/>
      <c r="P16"/>
      <c r="Q16"/>
      <c r="R16"/>
    </row>
    <row r="17" spans="1:18" x14ac:dyDescent="0.35">
      <c r="A17" s="177" t="s">
        <v>1629</v>
      </c>
      <c r="B17" s="177" t="s">
        <v>1617</v>
      </c>
      <c r="C17" s="177" t="s">
        <v>2200</v>
      </c>
      <c r="D17" s="177" t="s">
        <v>1630</v>
      </c>
      <c r="E17" s="177"/>
      <c r="F17" s="177" t="s">
        <v>1282</v>
      </c>
      <c r="G17" s="177">
        <v>74896</v>
      </c>
      <c r="H17" s="177"/>
      <c r="I17" s="177" t="s">
        <v>1631</v>
      </c>
      <c r="J17" s="177">
        <v>2026</v>
      </c>
      <c r="K17" s="177" t="s">
        <v>78</v>
      </c>
      <c r="L17" s="179" t="s">
        <v>79</v>
      </c>
      <c r="M17" s="177"/>
      <c r="N17" s="177" t="s">
        <v>1282</v>
      </c>
      <c r="O17"/>
      <c r="P17"/>
      <c r="Q17"/>
      <c r="R17"/>
    </row>
    <row r="18" spans="1:18" x14ac:dyDescent="0.35">
      <c r="A18" s="177" t="s">
        <v>1693</v>
      </c>
      <c r="B18" s="177" t="s">
        <v>1617</v>
      </c>
      <c r="C18" s="177" t="s">
        <v>2200</v>
      </c>
      <c r="D18" s="177" t="s">
        <v>1694</v>
      </c>
      <c r="E18" s="177"/>
      <c r="F18" s="177" t="s">
        <v>874</v>
      </c>
      <c r="G18" s="177">
        <v>74158</v>
      </c>
      <c r="H18" s="177"/>
      <c r="I18" s="180">
        <v>46084</v>
      </c>
      <c r="J18" s="177">
        <v>2026</v>
      </c>
      <c r="K18" s="177" t="s">
        <v>78</v>
      </c>
      <c r="L18" s="179" t="s">
        <v>79</v>
      </c>
      <c r="M18" s="177"/>
      <c r="N18" s="177" t="s">
        <v>874</v>
      </c>
      <c r="O18"/>
      <c r="P18"/>
      <c r="Q18"/>
      <c r="R18"/>
    </row>
    <row r="19" spans="1:18" x14ac:dyDescent="0.35">
      <c r="A19" s="177" t="s">
        <v>1632</v>
      </c>
      <c r="B19" s="177" t="s">
        <v>1617</v>
      </c>
      <c r="C19" s="177" t="s">
        <v>2200</v>
      </c>
      <c r="D19" s="177" t="s">
        <v>1633</v>
      </c>
      <c r="E19" s="177"/>
      <c r="F19" s="177" t="s">
        <v>874</v>
      </c>
      <c r="G19" s="177">
        <v>72833</v>
      </c>
      <c r="H19" s="177"/>
      <c r="I19" s="177" t="s">
        <v>1634</v>
      </c>
      <c r="J19" s="177">
        <v>2025</v>
      </c>
      <c r="K19" s="177" t="s">
        <v>78</v>
      </c>
      <c r="L19" s="179" t="s">
        <v>79</v>
      </c>
      <c r="M19" s="177"/>
      <c r="N19" s="177" t="s">
        <v>874</v>
      </c>
      <c r="O19"/>
      <c r="P19"/>
      <c r="Q19"/>
      <c r="R19"/>
    </row>
    <row r="20" spans="1:18" x14ac:dyDescent="0.35">
      <c r="A20" s="177" t="s">
        <v>1698</v>
      </c>
      <c r="B20" s="177" t="s">
        <v>1617</v>
      </c>
      <c r="C20" s="177" t="s">
        <v>2200</v>
      </c>
      <c r="D20" s="177" t="s">
        <v>1699</v>
      </c>
      <c r="E20" s="177" t="s">
        <v>202</v>
      </c>
      <c r="F20" s="177" t="s">
        <v>21</v>
      </c>
      <c r="G20" s="177">
        <v>37275</v>
      </c>
      <c r="H20" s="177">
        <v>37275</v>
      </c>
      <c r="I20" s="180">
        <v>41859</v>
      </c>
      <c r="J20" s="177">
        <v>2014</v>
      </c>
      <c r="K20" s="177" t="s">
        <v>155</v>
      </c>
      <c r="L20" s="178" t="s">
        <v>30</v>
      </c>
      <c r="M20" s="177"/>
      <c r="N20" s="177" t="s">
        <v>21</v>
      </c>
      <c r="O20"/>
      <c r="P20"/>
      <c r="Q20"/>
      <c r="R20"/>
    </row>
    <row r="21" spans="1:18" x14ac:dyDescent="0.35">
      <c r="A21" s="177" t="s">
        <v>1710</v>
      </c>
      <c r="B21" s="177" t="s">
        <v>1617</v>
      </c>
      <c r="C21" s="177" t="s">
        <v>2200</v>
      </c>
      <c r="D21" s="177" t="s">
        <v>1711</v>
      </c>
      <c r="E21" s="177"/>
      <c r="F21" s="177" t="s">
        <v>413</v>
      </c>
      <c r="G21" s="177">
        <v>74149</v>
      </c>
      <c r="H21" s="177"/>
      <c r="I21" s="177" t="s">
        <v>1712</v>
      </c>
      <c r="J21" s="177">
        <v>2026</v>
      </c>
      <c r="K21" s="177" t="s">
        <v>78</v>
      </c>
      <c r="L21" s="179" t="s">
        <v>79</v>
      </c>
      <c r="M21" s="177"/>
      <c r="N21" s="177" t="s">
        <v>413</v>
      </c>
      <c r="O21"/>
      <c r="P21"/>
      <c r="Q21"/>
      <c r="R21"/>
    </row>
    <row r="22" spans="1:18" x14ac:dyDescent="0.35">
      <c r="A22" s="177" t="s">
        <v>1638</v>
      </c>
      <c r="B22" s="177" t="s">
        <v>1617</v>
      </c>
      <c r="C22" s="177" t="s">
        <v>2200</v>
      </c>
      <c r="D22" s="177" t="s">
        <v>1639</v>
      </c>
      <c r="E22" s="177"/>
      <c r="F22" s="177" t="s">
        <v>874</v>
      </c>
      <c r="G22" s="177">
        <v>72830</v>
      </c>
      <c r="H22" s="177"/>
      <c r="I22" s="177" t="s">
        <v>1640</v>
      </c>
      <c r="J22" s="177">
        <v>2025</v>
      </c>
      <c r="K22" s="177" t="s">
        <v>78</v>
      </c>
      <c r="L22" s="179" t="s">
        <v>79</v>
      </c>
      <c r="M22" s="177"/>
      <c r="N22" s="177" t="s">
        <v>874</v>
      </c>
      <c r="O22"/>
      <c r="P22"/>
      <c r="Q22"/>
      <c r="R22"/>
    </row>
    <row r="23" spans="1:18" x14ac:dyDescent="0.35">
      <c r="A23" s="177" t="s">
        <v>1641</v>
      </c>
      <c r="B23" s="177" t="s">
        <v>1617</v>
      </c>
      <c r="C23" s="177" t="s">
        <v>2200</v>
      </c>
      <c r="D23" s="177" t="s">
        <v>1642</v>
      </c>
      <c r="E23" s="177"/>
      <c r="F23" s="177" t="s">
        <v>874</v>
      </c>
      <c r="G23" s="177" t="s">
        <v>1643</v>
      </c>
      <c r="H23" s="177"/>
      <c r="I23" s="180">
        <v>44899</v>
      </c>
      <c r="J23" s="177">
        <v>2022</v>
      </c>
      <c r="K23" s="177" t="s">
        <v>106</v>
      </c>
      <c r="L23" s="182" t="s">
        <v>107</v>
      </c>
      <c r="M23" s="177"/>
      <c r="N23" s="177" t="s">
        <v>874</v>
      </c>
      <c r="O23"/>
      <c r="P23"/>
      <c r="Q23"/>
      <c r="R23"/>
    </row>
    <row r="24" spans="1:18" x14ac:dyDescent="0.35">
      <c r="A24" s="183" t="s">
        <v>2330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/>
      <c r="P24"/>
      <c r="Q24"/>
      <c r="R24"/>
    </row>
    <row r="25" spans="1:18" x14ac:dyDescent="0.35">
      <c r="A25" s="177" t="s">
        <v>1670</v>
      </c>
      <c r="B25" s="177" t="s">
        <v>1617</v>
      </c>
      <c r="C25" s="177" t="s">
        <v>2213</v>
      </c>
      <c r="D25" s="177" t="s">
        <v>1671</v>
      </c>
      <c r="E25" s="177" t="s">
        <v>1672</v>
      </c>
      <c r="F25" s="177" t="s">
        <v>21</v>
      </c>
      <c r="G25" s="177">
        <v>39098</v>
      </c>
      <c r="H25" s="177"/>
      <c r="I25" s="180">
        <v>42557</v>
      </c>
      <c r="J25" s="177">
        <v>2016</v>
      </c>
      <c r="K25" s="177"/>
      <c r="L25" s="181" t="s">
        <v>23</v>
      </c>
      <c r="M25" s="177"/>
      <c r="N25" s="177" t="s">
        <v>21</v>
      </c>
      <c r="O25"/>
      <c r="P25"/>
      <c r="Q25"/>
      <c r="R25"/>
    </row>
    <row r="26" spans="1:18" x14ac:dyDescent="0.35">
      <c r="A26" s="177" t="s">
        <v>1676</v>
      </c>
      <c r="B26" s="177" t="s">
        <v>1617</v>
      </c>
      <c r="C26" s="177" t="s">
        <v>2213</v>
      </c>
      <c r="D26" s="177" t="s">
        <v>1677</v>
      </c>
      <c r="E26" s="177" t="s">
        <v>1678</v>
      </c>
      <c r="F26" s="177" t="s">
        <v>21</v>
      </c>
      <c r="G26" s="177">
        <v>39587</v>
      </c>
      <c r="H26" s="177"/>
      <c r="I26" s="177" t="s">
        <v>463</v>
      </c>
      <c r="J26" s="177">
        <v>2016</v>
      </c>
      <c r="K26" s="177"/>
      <c r="L26" s="181" t="s">
        <v>23</v>
      </c>
      <c r="M26" s="177"/>
      <c r="N26" s="177" t="s">
        <v>21</v>
      </c>
      <c r="O26"/>
      <c r="P26"/>
      <c r="Q26"/>
      <c r="R26"/>
    </row>
    <row r="27" spans="1:18" x14ac:dyDescent="0.35">
      <c r="A27" s="177" t="s">
        <v>1679</v>
      </c>
      <c r="B27" s="177" t="s">
        <v>1617</v>
      </c>
      <c r="C27" s="177" t="s">
        <v>2213</v>
      </c>
      <c r="D27" s="177" t="s">
        <v>1680</v>
      </c>
      <c r="E27" s="177"/>
      <c r="F27" s="177" t="s">
        <v>413</v>
      </c>
      <c r="G27" s="177">
        <v>73999</v>
      </c>
      <c r="H27" s="177"/>
      <c r="I27" s="177" t="s">
        <v>1681</v>
      </c>
      <c r="J27" s="177">
        <v>2026</v>
      </c>
      <c r="K27" s="177" t="s">
        <v>78</v>
      </c>
      <c r="L27" s="179" t="s">
        <v>79</v>
      </c>
      <c r="M27" s="177"/>
      <c r="N27" s="177" t="s">
        <v>413</v>
      </c>
      <c r="O27"/>
      <c r="P27"/>
      <c r="Q27"/>
      <c r="R27"/>
    </row>
    <row r="28" spans="1:18" x14ac:dyDescent="0.35">
      <c r="A28" s="183" t="s">
        <v>2331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/>
      <c r="P28"/>
      <c r="Q28"/>
      <c r="R28"/>
    </row>
    <row r="29" spans="1:18" x14ac:dyDescent="0.35">
      <c r="A29" s="177" t="s">
        <v>1653</v>
      </c>
      <c r="B29" s="177" t="s">
        <v>1617</v>
      </c>
      <c r="C29" s="177" t="s">
        <v>2217</v>
      </c>
      <c r="D29" s="177" t="s">
        <v>1654</v>
      </c>
      <c r="E29" s="177" t="s">
        <v>1655</v>
      </c>
      <c r="F29" s="177" t="s">
        <v>21</v>
      </c>
      <c r="G29" s="177">
        <v>60000</v>
      </c>
      <c r="H29" s="177"/>
      <c r="I29" s="180">
        <v>45081</v>
      </c>
      <c r="J29" s="177">
        <v>2023</v>
      </c>
      <c r="K29" s="177"/>
      <c r="L29" s="181" t="s">
        <v>23</v>
      </c>
      <c r="M29" s="177"/>
      <c r="N29" s="177" t="s">
        <v>1656</v>
      </c>
      <c r="O29"/>
      <c r="P29"/>
      <c r="Q29"/>
      <c r="R29"/>
    </row>
    <row r="30" spans="1:18" x14ac:dyDescent="0.35">
      <c r="A30" s="177" t="s">
        <v>1695</v>
      </c>
      <c r="B30" s="177" t="s">
        <v>1617</v>
      </c>
      <c r="C30" s="177" t="s">
        <v>2217</v>
      </c>
      <c r="D30" s="177" t="s">
        <v>1696</v>
      </c>
      <c r="E30" s="177"/>
      <c r="F30" s="177" t="s">
        <v>1697</v>
      </c>
      <c r="G30" s="177">
        <v>73605</v>
      </c>
      <c r="H30" s="177"/>
      <c r="I30" s="180">
        <v>45759</v>
      </c>
      <c r="J30" s="177">
        <v>2025</v>
      </c>
      <c r="K30" s="177" t="s">
        <v>78</v>
      </c>
      <c r="L30" s="179" t="s">
        <v>79</v>
      </c>
      <c r="M30" s="177"/>
      <c r="N30" s="177" t="s">
        <v>1697</v>
      </c>
      <c r="O30"/>
      <c r="P30"/>
      <c r="Q30"/>
      <c r="R30"/>
    </row>
    <row r="31" spans="1:18" x14ac:dyDescent="0.35">
      <c r="A31" s="177" t="s">
        <v>1713</v>
      </c>
      <c r="B31" s="177" t="s">
        <v>1617</v>
      </c>
      <c r="C31" s="177" t="s">
        <v>2217</v>
      </c>
      <c r="D31" s="177" t="s">
        <v>1714</v>
      </c>
      <c r="E31" s="177" t="s">
        <v>1715</v>
      </c>
      <c r="F31" s="177" t="s">
        <v>21</v>
      </c>
      <c r="G31" s="177">
        <v>62697</v>
      </c>
      <c r="H31" s="177"/>
      <c r="I31" s="180">
        <v>44967</v>
      </c>
      <c r="J31" s="177">
        <v>2023</v>
      </c>
      <c r="K31" s="177"/>
      <c r="L31" s="181" t="s">
        <v>23</v>
      </c>
      <c r="M31" s="177"/>
      <c r="N31" s="177" t="s">
        <v>1656</v>
      </c>
      <c r="O31"/>
      <c r="P31"/>
      <c r="Q31"/>
      <c r="R31"/>
    </row>
    <row r="32" spans="1:18" x14ac:dyDescent="0.35">
      <c r="A32" s="183" t="s">
        <v>2332</v>
      </c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/>
      <c r="P32"/>
      <c r="Q32"/>
      <c r="R32"/>
    </row>
    <row r="33" spans="1:18" x14ac:dyDescent="0.35">
      <c r="A33" s="177" t="s">
        <v>1657</v>
      </c>
      <c r="B33" s="177" t="s">
        <v>1617</v>
      </c>
      <c r="C33" s="177" t="s">
        <v>2224</v>
      </c>
      <c r="D33" s="177" t="s">
        <v>1658</v>
      </c>
      <c r="E33" s="177"/>
      <c r="F33" s="177" t="s">
        <v>1912</v>
      </c>
      <c r="G33" s="177" t="s">
        <v>1659</v>
      </c>
      <c r="H33" s="177" t="s">
        <v>1660</v>
      </c>
      <c r="I33" s="177"/>
      <c r="J33" s="177"/>
      <c r="K33" s="177" t="s">
        <v>385</v>
      </c>
      <c r="L33" s="179" t="s">
        <v>386</v>
      </c>
      <c r="M33" s="177" t="s">
        <v>1661</v>
      </c>
      <c r="N33" s="177" t="s">
        <v>1662</v>
      </c>
      <c r="O33"/>
      <c r="P33"/>
      <c r="Q33"/>
      <c r="R33"/>
    </row>
    <row r="34" spans="1:18" x14ac:dyDescent="0.35">
      <c r="A34" s="177" t="s">
        <v>1663</v>
      </c>
      <c r="B34" s="177" t="s">
        <v>1617</v>
      </c>
      <c r="C34" s="177" t="s">
        <v>2224</v>
      </c>
      <c r="D34" s="177" t="s">
        <v>1664</v>
      </c>
      <c r="E34" s="177"/>
      <c r="F34" s="177" t="s">
        <v>1912</v>
      </c>
      <c r="G34" s="177" t="s">
        <v>1665</v>
      </c>
      <c r="H34" s="177" t="s">
        <v>1666</v>
      </c>
      <c r="I34" s="177"/>
      <c r="J34" s="177"/>
      <c r="K34" s="177" t="s">
        <v>1667</v>
      </c>
      <c r="L34" s="182" t="s">
        <v>107</v>
      </c>
      <c r="M34" s="177" t="s">
        <v>1668</v>
      </c>
      <c r="N34" s="177" t="s">
        <v>1669</v>
      </c>
      <c r="O34"/>
      <c r="P34"/>
      <c r="Q34"/>
      <c r="R34"/>
    </row>
    <row r="35" spans="1:18" x14ac:dyDescent="0.35">
      <c r="A35" s="177" t="s">
        <v>1700</v>
      </c>
      <c r="B35" s="177" t="s">
        <v>1617</v>
      </c>
      <c r="C35" s="177" t="s">
        <v>2224</v>
      </c>
      <c r="D35" s="177" t="s">
        <v>1701</v>
      </c>
      <c r="E35" s="177"/>
      <c r="F35" s="177" t="s">
        <v>1912</v>
      </c>
      <c r="G35" s="177" t="s">
        <v>1702</v>
      </c>
      <c r="H35" s="177" t="s">
        <v>1703</v>
      </c>
      <c r="I35" s="177"/>
      <c r="J35" s="177"/>
      <c r="K35" s="177" t="s">
        <v>302</v>
      </c>
      <c r="L35" s="185" t="s">
        <v>280</v>
      </c>
      <c r="M35" s="177" t="s">
        <v>416</v>
      </c>
      <c r="N35" s="177" t="s">
        <v>1704</v>
      </c>
      <c r="O35"/>
      <c r="P35"/>
      <c r="Q35"/>
      <c r="R35"/>
    </row>
    <row r="36" spans="1:18" x14ac:dyDescent="0.35">
      <c r="A36" s="183" t="s">
        <v>2333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/>
      <c r="P36"/>
      <c r="Q36"/>
      <c r="R36"/>
    </row>
    <row r="37" spans="1:18" x14ac:dyDescent="0.35">
      <c r="A37" s="177" t="s">
        <v>1635</v>
      </c>
      <c r="B37" s="177" t="s">
        <v>1617</v>
      </c>
      <c r="C37" s="177" t="s">
        <v>2225</v>
      </c>
      <c r="D37" s="177" t="s">
        <v>1636</v>
      </c>
      <c r="E37" s="177"/>
      <c r="F37" s="177" t="s">
        <v>874</v>
      </c>
      <c r="G37" s="177" t="s">
        <v>1637</v>
      </c>
      <c r="H37" s="177"/>
      <c r="I37" s="180">
        <v>45994</v>
      </c>
      <c r="J37" s="177">
        <v>2025</v>
      </c>
      <c r="K37" s="177" t="s">
        <v>78</v>
      </c>
      <c r="L37" s="179" t="s">
        <v>79</v>
      </c>
      <c r="M37" s="177"/>
      <c r="N37" s="177" t="s">
        <v>874</v>
      </c>
      <c r="O37"/>
      <c r="P37"/>
      <c r="Q37"/>
      <c r="R37"/>
    </row>
    <row r="38" spans="1:18" x14ac:dyDescent="0.35">
      <c r="A38" s="177" t="s">
        <v>1705</v>
      </c>
      <c r="B38" s="177" t="s">
        <v>1617</v>
      </c>
      <c r="C38" s="177" t="s">
        <v>2225</v>
      </c>
      <c r="D38" s="177" t="s">
        <v>1706</v>
      </c>
      <c r="E38" s="177"/>
      <c r="F38" s="177" t="s">
        <v>874</v>
      </c>
      <c r="G38" s="177" t="s">
        <v>1707</v>
      </c>
      <c r="H38" s="177"/>
      <c r="I38" s="177" t="s">
        <v>1708</v>
      </c>
      <c r="J38" s="177">
        <v>2023</v>
      </c>
      <c r="K38" s="177" t="s">
        <v>106</v>
      </c>
      <c r="L38" s="182" t="s">
        <v>107</v>
      </c>
      <c r="M38" s="177"/>
      <c r="N38" s="177" t="s">
        <v>874</v>
      </c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00"/>
  <sheetViews>
    <sheetView showGridLines="0" zoomScale="37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87.453125" style="19" bestFit="1" customWidth="1"/>
    <col min="2" max="2" width="57.1796875" style="19" bestFit="1" customWidth="1"/>
    <col min="3" max="3" width="77.81640625" style="19" bestFit="1" customWidth="1"/>
    <col min="4" max="4" width="255.81640625" style="19" bestFit="1" customWidth="1"/>
    <col min="5" max="5" width="244.179687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9.08984375" style="19" bestFit="1" customWidth="1"/>
    <col min="12" max="12" width="31.6328125" style="19" bestFit="1" customWidth="1"/>
    <col min="13" max="13" width="22.1796875" style="19" customWidth="1"/>
    <col min="14" max="14" width="133.36328125" style="19" bestFit="1" customWidth="1"/>
    <col min="15" max="15" width="8.08984375" style="19" bestFit="1" customWidth="1"/>
    <col min="16" max="16" width="15.08984375" style="19" bestFit="1" customWidth="1"/>
    <col min="17" max="17" width="26.6328125" style="19" bestFit="1" customWidth="1"/>
    <col min="18" max="18" width="19.6328125" style="19" bestFit="1" customWidth="1"/>
    <col min="19" max="16384" width="8.90625" style="19"/>
  </cols>
  <sheetData>
    <row r="1" spans="1:18" x14ac:dyDescent="0.35">
      <c r="A1" s="284" t="s">
        <v>1735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1756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2334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229</v>
      </c>
      <c r="B5" s="177" t="s">
        <v>19</v>
      </c>
      <c r="C5" s="177" t="s">
        <v>1950</v>
      </c>
      <c r="D5" s="177" t="s">
        <v>230</v>
      </c>
      <c r="E5" s="177" t="s">
        <v>231</v>
      </c>
      <c r="F5" s="177" t="s">
        <v>21</v>
      </c>
      <c r="G5" s="177">
        <v>39099</v>
      </c>
      <c r="H5" s="177">
        <v>43312</v>
      </c>
      <c r="I5" s="180">
        <v>42557</v>
      </c>
      <c r="J5" s="177">
        <v>2016</v>
      </c>
      <c r="K5" s="177" t="s">
        <v>232</v>
      </c>
      <c r="L5" s="178" t="s">
        <v>30</v>
      </c>
      <c r="M5" s="177"/>
      <c r="N5" s="177" t="s">
        <v>21</v>
      </c>
      <c r="O5"/>
      <c r="P5"/>
      <c r="Q5"/>
      <c r="R5"/>
    </row>
    <row r="6" spans="1:18" x14ac:dyDescent="0.35">
      <c r="A6" s="177" t="s">
        <v>556</v>
      </c>
      <c r="B6" s="177" t="s">
        <v>19</v>
      </c>
      <c r="C6" s="177" t="s">
        <v>1950</v>
      </c>
      <c r="D6" s="177" t="s">
        <v>557</v>
      </c>
      <c r="E6" s="177" t="s">
        <v>558</v>
      </c>
      <c r="F6" s="177" t="s">
        <v>21</v>
      </c>
      <c r="G6" s="177">
        <v>35507</v>
      </c>
      <c r="H6" s="177">
        <v>35227</v>
      </c>
      <c r="I6" s="177" t="s">
        <v>444</v>
      </c>
      <c r="J6" s="177">
        <v>2012</v>
      </c>
      <c r="K6" s="177" t="s">
        <v>445</v>
      </c>
      <c r="L6" s="178" t="s">
        <v>30</v>
      </c>
      <c r="M6" s="177"/>
      <c r="N6" s="177" t="s">
        <v>21</v>
      </c>
      <c r="O6"/>
      <c r="P6"/>
      <c r="Q6"/>
      <c r="R6"/>
    </row>
    <row r="7" spans="1:18" x14ac:dyDescent="0.35">
      <c r="A7" s="177" t="s">
        <v>110</v>
      </c>
      <c r="B7" s="177" t="s">
        <v>19</v>
      </c>
      <c r="C7" s="177" t="s">
        <v>1950</v>
      </c>
      <c r="D7" s="177" t="s">
        <v>111</v>
      </c>
      <c r="E7" s="177" t="s">
        <v>112</v>
      </c>
      <c r="F7" s="177" t="s">
        <v>21</v>
      </c>
      <c r="G7" s="177">
        <v>41390</v>
      </c>
      <c r="H7" s="177"/>
      <c r="I7" s="180">
        <v>42805</v>
      </c>
      <c r="J7" s="177">
        <v>2017</v>
      </c>
      <c r="K7" s="177"/>
      <c r="L7" s="181" t="s">
        <v>23</v>
      </c>
      <c r="M7" s="177"/>
      <c r="N7" s="177"/>
      <c r="O7"/>
      <c r="P7"/>
      <c r="Q7"/>
      <c r="R7"/>
    </row>
    <row r="8" spans="1:18" x14ac:dyDescent="0.35">
      <c r="A8" s="177" t="s">
        <v>667</v>
      </c>
      <c r="B8" s="177" t="s">
        <v>19</v>
      </c>
      <c r="C8" s="177" t="s">
        <v>1950</v>
      </c>
      <c r="D8" s="177" t="s">
        <v>668</v>
      </c>
      <c r="E8" s="177" t="s">
        <v>669</v>
      </c>
      <c r="F8" s="177" t="s">
        <v>21</v>
      </c>
      <c r="G8" s="177">
        <v>38268</v>
      </c>
      <c r="H8" s="177"/>
      <c r="I8" s="180">
        <v>42284</v>
      </c>
      <c r="J8" s="177">
        <v>2015</v>
      </c>
      <c r="K8" s="177"/>
      <c r="L8" s="181" t="s">
        <v>23</v>
      </c>
      <c r="M8" s="177"/>
      <c r="N8" s="177"/>
      <c r="O8"/>
      <c r="P8"/>
      <c r="Q8"/>
      <c r="R8"/>
    </row>
    <row r="9" spans="1:18" x14ac:dyDescent="0.35">
      <c r="A9" s="177" t="s">
        <v>686</v>
      </c>
      <c r="B9" s="177" t="s">
        <v>19</v>
      </c>
      <c r="C9" s="177" t="s">
        <v>1950</v>
      </c>
      <c r="D9" s="177" t="s">
        <v>687</v>
      </c>
      <c r="E9" s="177" t="s">
        <v>688</v>
      </c>
      <c r="F9" s="177" t="s">
        <v>21</v>
      </c>
      <c r="G9" s="177">
        <v>38374</v>
      </c>
      <c r="H9" s="177">
        <v>38374</v>
      </c>
      <c r="I9" s="180">
        <v>42072</v>
      </c>
      <c r="J9" s="177">
        <v>2015</v>
      </c>
      <c r="K9" s="177" t="s">
        <v>236</v>
      </c>
      <c r="L9" s="178" t="s">
        <v>30</v>
      </c>
      <c r="M9" s="177"/>
      <c r="N9" s="177" t="s">
        <v>21</v>
      </c>
      <c r="O9"/>
      <c r="P9"/>
      <c r="Q9"/>
      <c r="R9"/>
    </row>
    <row r="10" spans="1:18" x14ac:dyDescent="0.35">
      <c r="A10" s="177" t="s">
        <v>692</v>
      </c>
      <c r="B10" s="177" t="s">
        <v>19</v>
      </c>
      <c r="C10" s="177" t="s">
        <v>1950</v>
      </c>
      <c r="D10" s="177" t="s">
        <v>693</v>
      </c>
      <c r="E10" s="177" t="s">
        <v>694</v>
      </c>
      <c r="F10" s="177" t="s">
        <v>21</v>
      </c>
      <c r="G10" s="177">
        <v>39401</v>
      </c>
      <c r="H10" s="177"/>
      <c r="I10" s="177" t="s">
        <v>695</v>
      </c>
      <c r="J10" s="177">
        <v>2016</v>
      </c>
      <c r="K10" s="177"/>
      <c r="L10" s="181" t="s">
        <v>23</v>
      </c>
      <c r="M10" s="177"/>
      <c r="N10" s="177" t="s">
        <v>21</v>
      </c>
      <c r="O10"/>
      <c r="P10"/>
      <c r="Q10"/>
      <c r="R10"/>
    </row>
    <row r="11" spans="1:18" x14ac:dyDescent="0.35">
      <c r="A11" s="177" t="s">
        <v>696</v>
      </c>
      <c r="B11" s="177" t="s">
        <v>19</v>
      </c>
      <c r="C11" s="177" t="s">
        <v>1950</v>
      </c>
      <c r="D11" s="177" t="s">
        <v>697</v>
      </c>
      <c r="E11" s="177" t="s">
        <v>698</v>
      </c>
      <c r="F11" s="177" t="s">
        <v>21</v>
      </c>
      <c r="G11" s="177">
        <v>41391</v>
      </c>
      <c r="H11" s="177"/>
      <c r="I11" s="180">
        <v>42805</v>
      </c>
      <c r="J11" s="177">
        <v>2017</v>
      </c>
      <c r="K11" s="177"/>
      <c r="L11" s="181" t="s">
        <v>23</v>
      </c>
      <c r="M11" s="177"/>
      <c r="N11" s="177" t="s">
        <v>21</v>
      </c>
      <c r="O11"/>
      <c r="P11"/>
      <c r="Q11"/>
      <c r="R11"/>
    </row>
    <row r="12" spans="1:18" x14ac:dyDescent="0.35">
      <c r="A12" s="177" t="s">
        <v>699</v>
      </c>
      <c r="B12" s="177" t="s">
        <v>19</v>
      </c>
      <c r="C12" s="177" t="s">
        <v>1950</v>
      </c>
      <c r="D12" s="177" t="s">
        <v>700</v>
      </c>
      <c r="E12" s="177" t="s">
        <v>701</v>
      </c>
      <c r="F12" s="177" t="s">
        <v>21</v>
      </c>
      <c r="G12" s="177">
        <v>47857</v>
      </c>
      <c r="H12" s="177"/>
      <c r="I12" s="177" t="s">
        <v>424</v>
      </c>
      <c r="J12" s="177">
        <v>2019</v>
      </c>
      <c r="K12" s="177" t="s">
        <v>425</v>
      </c>
      <c r="L12" s="178" t="s">
        <v>30</v>
      </c>
      <c r="M12" s="177"/>
      <c r="N12" s="177" t="s">
        <v>21</v>
      </c>
      <c r="O12"/>
      <c r="P12"/>
      <c r="Q12"/>
      <c r="R12"/>
    </row>
    <row r="13" spans="1:18" x14ac:dyDescent="0.35">
      <c r="A13" s="177" t="s">
        <v>134</v>
      </c>
      <c r="B13" s="177" t="s">
        <v>19</v>
      </c>
      <c r="C13" s="177" t="s">
        <v>1950</v>
      </c>
      <c r="D13" s="177" t="s">
        <v>135</v>
      </c>
      <c r="E13" s="177" t="s">
        <v>136</v>
      </c>
      <c r="F13" s="177" t="s">
        <v>21</v>
      </c>
      <c r="G13" s="177">
        <v>39607</v>
      </c>
      <c r="H13" s="177">
        <v>43434</v>
      </c>
      <c r="I13" s="177" t="s">
        <v>137</v>
      </c>
      <c r="J13" s="177">
        <v>2016</v>
      </c>
      <c r="K13" s="177" t="s">
        <v>125</v>
      </c>
      <c r="L13" s="178" t="s">
        <v>30</v>
      </c>
      <c r="M13" s="177"/>
      <c r="N13" s="177" t="s">
        <v>21</v>
      </c>
      <c r="O13"/>
      <c r="P13"/>
      <c r="Q13"/>
      <c r="R13"/>
    </row>
    <row r="14" spans="1:18" x14ac:dyDescent="0.35">
      <c r="A14" s="177" t="s">
        <v>138</v>
      </c>
      <c r="B14" s="177" t="s">
        <v>19</v>
      </c>
      <c r="C14" s="177" t="s">
        <v>1950</v>
      </c>
      <c r="D14" s="177" t="s">
        <v>139</v>
      </c>
      <c r="E14" s="177" t="s">
        <v>140</v>
      </c>
      <c r="F14" s="177" t="s">
        <v>21</v>
      </c>
      <c r="G14" s="177">
        <v>38448</v>
      </c>
      <c r="H14" s="177"/>
      <c r="I14" s="177" t="s">
        <v>141</v>
      </c>
      <c r="J14" s="177">
        <v>2015</v>
      </c>
      <c r="K14" s="177"/>
      <c r="L14" s="181" t="s">
        <v>23</v>
      </c>
      <c r="M14" s="177"/>
      <c r="N14" s="177" t="s">
        <v>21</v>
      </c>
      <c r="O14"/>
      <c r="P14"/>
      <c r="Q14"/>
      <c r="R14"/>
    </row>
    <row r="15" spans="1:18" x14ac:dyDescent="0.35">
      <c r="A15" s="177" t="s">
        <v>142</v>
      </c>
      <c r="B15" s="177" t="s">
        <v>19</v>
      </c>
      <c r="C15" s="177" t="s">
        <v>1950</v>
      </c>
      <c r="D15" s="177" t="s">
        <v>143</v>
      </c>
      <c r="E15" s="177" t="s">
        <v>144</v>
      </c>
      <c r="F15" s="177" t="s">
        <v>21</v>
      </c>
      <c r="G15" s="177">
        <v>51963</v>
      </c>
      <c r="H15" s="177"/>
      <c r="I15" s="177" t="s">
        <v>132</v>
      </c>
      <c r="J15" s="177">
        <v>2020</v>
      </c>
      <c r="K15" s="177" t="s">
        <v>145</v>
      </c>
      <c r="L15" s="178" t="s">
        <v>30</v>
      </c>
      <c r="M15" s="177"/>
      <c r="N15" s="177" t="s">
        <v>21</v>
      </c>
      <c r="O15"/>
      <c r="P15"/>
      <c r="Q15"/>
      <c r="R15"/>
    </row>
    <row r="16" spans="1:18" x14ac:dyDescent="0.35">
      <c r="A16" s="177" t="s">
        <v>713</v>
      </c>
      <c r="B16" s="177" t="s">
        <v>19</v>
      </c>
      <c r="C16" s="177" t="s">
        <v>1950</v>
      </c>
      <c r="D16" s="177" t="s">
        <v>714</v>
      </c>
      <c r="E16" s="177" t="s">
        <v>715</v>
      </c>
      <c r="F16" s="177" t="s">
        <v>21</v>
      </c>
      <c r="G16" s="177">
        <v>47830</v>
      </c>
      <c r="H16" s="177">
        <v>47830</v>
      </c>
      <c r="I16" s="177" t="s">
        <v>716</v>
      </c>
      <c r="J16" s="177">
        <v>2019</v>
      </c>
      <c r="K16" s="177" t="s">
        <v>403</v>
      </c>
      <c r="L16" s="178" t="s">
        <v>30</v>
      </c>
      <c r="M16" s="177"/>
      <c r="N16" s="177" t="s">
        <v>21</v>
      </c>
      <c r="O16"/>
      <c r="P16"/>
      <c r="Q16"/>
      <c r="R16"/>
    </row>
    <row r="17" spans="1:18" x14ac:dyDescent="0.35">
      <c r="A17" s="177" t="s">
        <v>717</v>
      </c>
      <c r="B17" s="177" t="s">
        <v>19</v>
      </c>
      <c r="C17" s="177" t="s">
        <v>1950</v>
      </c>
      <c r="D17" s="177" t="s">
        <v>718</v>
      </c>
      <c r="E17" s="177" t="s">
        <v>719</v>
      </c>
      <c r="F17" s="177" t="s">
        <v>21</v>
      </c>
      <c r="G17" s="177">
        <v>44366</v>
      </c>
      <c r="H17" s="177">
        <v>44366</v>
      </c>
      <c r="I17" s="177" t="s">
        <v>116</v>
      </c>
      <c r="J17" s="177">
        <v>2018</v>
      </c>
      <c r="K17" s="177" t="s">
        <v>720</v>
      </c>
      <c r="L17" s="178" t="s">
        <v>30</v>
      </c>
      <c r="M17" s="177"/>
      <c r="N17" s="177" t="s">
        <v>721</v>
      </c>
      <c r="O17"/>
      <c r="P17"/>
      <c r="Q17"/>
      <c r="R17"/>
    </row>
    <row r="18" spans="1:18" x14ac:dyDescent="0.35">
      <c r="A18" s="177" t="s">
        <v>146</v>
      </c>
      <c r="B18" s="177" t="s">
        <v>19</v>
      </c>
      <c r="C18" s="177" t="s">
        <v>1950</v>
      </c>
      <c r="D18" s="177" t="s">
        <v>147</v>
      </c>
      <c r="E18" s="177" t="s">
        <v>148</v>
      </c>
      <c r="F18" s="177" t="s">
        <v>21</v>
      </c>
      <c r="G18" s="177">
        <v>51959</v>
      </c>
      <c r="H18" s="177"/>
      <c r="I18" s="177" t="s">
        <v>149</v>
      </c>
      <c r="J18" s="177">
        <v>2020</v>
      </c>
      <c r="K18" s="177" t="s">
        <v>150</v>
      </c>
      <c r="L18" s="178" t="s">
        <v>30</v>
      </c>
      <c r="M18" s="177"/>
      <c r="N18" s="177" t="s">
        <v>21</v>
      </c>
      <c r="O18"/>
      <c r="P18"/>
      <c r="Q18"/>
      <c r="R18"/>
    </row>
    <row r="19" spans="1:18" x14ac:dyDescent="0.35">
      <c r="A19" s="177" t="s">
        <v>722</v>
      </c>
      <c r="B19" s="177" t="s">
        <v>19</v>
      </c>
      <c r="C19" s="177" t="s">
        <v>1950</v>
      </c>
      <c r="D19" s="177" t="s">
        <v>723</v>
      </c>
      <c r="E19" s="177" t="s">
        <v>724</v>
      </c>
      <c r="F19" s="177" t="s">
        <v>21</v>
      </c>
      <c r="G19" s="177">
        <v>51965</v>
      </c>
      <c r="H19" s="177"/>
      <c r="I19" s="177" t="s">
        <v>132</v>
      </c>
      <c r="J19" s="177">
        <v>2020</v>
      </c>
      <c r="K19" s="177" t="s">
        <v>150</v>
      </c>
      <c r="L19" s="178" t="s">
        <v>30</v>
      </c>
      <c r="M19" s="177"/>
      <c r="N19" s="177" t="s">
        <v>725</v>
      </c>
      <c r="O19"/>
      <c r="P19"/>
      <c r="Q19"/>
      <c r="R19"/>
    </row>
    <row r="20" spans="1:18" x14ac:dyDescent="0.35">
      <c r="A20" s="177" t="s">
        <v>730</v>
      </c>
      <c r="B20" s="177" t="s">
        <v>19</v>
      </c>
      <c r="C20" s="177" t="s">
        <v>1950</v>
      </c>
      <c r="D20" s="177" t="s">
        <v>731</v>
      </c>
      <c r="E20" s="177" t="s">
        <v>732</v>
      </c>
      <c r="F20" s="177" t="s">
        <v>21</v>
      </c>
      <c r="G20" s="177">
        <v>43336</v>
      </c>
      <c r="H20" s="177">
        <v>43336</v>
      </c>
      <c r="I20" s="177" t="s">
        <v>733</v>
      </c>
      <c r="J20" s="177">
        <v>2018</v>
      </c>
      <c r="K20" s="177" t="s">
        <v>432</v>
      </c>
      <c r="L20" s="178" t="s">
        <v>30</v>
      </c>
      <c r="M20" s="177"/>
      <c r="N20" s="177" t="s">
        <v>734</v>
      </c>
      <c r="O20"/>
      <c r="P20"/>
      <c r="Q20"/>
      <c r="R20"/>
    </row>
    <row r="21" spans="1:18" x14ac:dyDescent="0.35">
      <c r="A21" s="177" t="s">
        <v>735</v>
      </c>
      <c r="B21" s="177" t="s">
        <v>19</v>
      </c>
      <c r="C21" s="177" t="s">
        <v>1950</v>
      </c>
      <c r="D21" s="177" t="s">
        <v>736</v>
      </c>
      <c r="E21" s="177" t="s">
        <v>737</v>
      </c>
      <c r="F21" s="177" t="s">
        <v>21</v>
      </c>
      <c r="G21" s="177">
        <v>45886</v>
      </c>
      <c r="H21" s="177">
        <v>45886</v>
      </c>
      <c r="I21" s="177" t="s">
        <v>738</v>
      </c>
      <c r="J21" s="177">
        <v>2019</v>
      </c>
      <c r="K21" s="177" t="s">
        <v>739</v>
      </c>
      <c r="L21" s="178" t="s">
        <v>30</v>
      </c>
      <c r="M21" s="177"/>
      <c r="N21" s="177" t="s">
        <v>734</v>
      </c>
      <c r="O21"/>
      <c r="P21"/>
      <c r="Q21"/>
      <c r="R21"/>
    </row>
    <row r="22" spans="1:18" x14ac:dyDescent="0.35">
      <c r="A22" s="177" t="s">
        <v>740</v>
      </c>
      <c r="B22" s="177" t="s">
        <v>19</v>
      </c>
      <c r="C22" s="177" t="s">
        <v>1950</v>
      </c>
      <c r="D22" s="177" t="s">
        <v>741</v>
      </c>
      <c r="E22" s="177" t="s">
        <v>742</v>
      </c>
      <c r="F22" s="177" t="s">
        <v>21</v>
      </c>
      <c r="G22" s="177">
        <v>36096</v>
      </c>
      <c r="H22" s="177">
        <v>36096</v>
      </c>
      <c r="I22" s="180">
        <v>41493</v>
      </c>
      <c r="J22" s="177">
        <v>2013</v>
      </c>
      <c r="K22" s="177"/>
      <c r="L22" s="181" t="s">
        <v>23</v>
      </c>
      <c r="M22" s="177"/>
      <c r="N22" s="177"/>
      <c r="O22"/>
      <c r="P22"/>
      <c r="Q22"/>
      <c r="R22"/>
    </row>
    <row r="23" spans="1:18" x14ac:dyDescent="0.35">
      <c r="A23" s="177" t="s">
        <v>746</v>
      </c>
      <c r="B23" s="177" t="s">
        <v>19</v>
      </c>
      <c r="C23" s="177" t="s">
        <v>1950</v>
      </c>
      <c r="D23" s="177" t="s">
        <v>747</v>
      </c>
      <c r="E23" s="177" t="s">
        <v>748</v>
      </c>
      <c r="F23" s="177" t="s">
        <v>21</v>
      </c>
      <c r="G23" s="177">
        <v>44423</v>
      </c>
      <c r="H23" s="177">
        <v>44423</v>
      </c>
      <c r="I23" s="177" t="s">
        <v>749</v>
      </c>
      <c r="J23" s="177">
        <v>2018</v>
      </c>
      <c r="K23" s="177" t="s">
        <v>739</v>
      </c>
      <c r="L23" s="178" t="s">
        <v>30</v>
      </c>
      <c r="M23" s="177"/>
      <c r="N23" s="177" t="s">
        <v>750</v>
      </c>
      <c r="O23"/>
      <c r="P23"/>
      <c r="Q23"/>
      <c r="R23"/>
    </row>
    <row r="24" spans="1:18" x14ac:dyDescent="0.35">
      <c r="A24" s="183" t="s">
        <v>2335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/>
      <c r="P24"/>
      <c r="Q24"/>
      <c r="R24"/>
    </row>
    <row r="25" spans="1:18" x14ac:dyDescent="0.35">
      <c r="A25" s="177" t="s">
        <v>183</v>
      </c>
      <c r="B25" s="177" t="s">
        <v>19</v>
      </c>
      <c r="C25" s="177" t="s">
        <v>1885</v>
      </c>
      <c r="D25" s="177" t="s">
        <v>184</v>
      </c>
      <c r="E25" s="177" t="s">
        <v>185</v>
      </c>
      <c r="F25" s="177" t="s">
        <v>21</v>
      </c>
      <c r="G25" s="177">
        <v>38772</v>
      </c>
      <c r="H25" s="177">
        <v>38772</v>
      </c>
      <c r="I25" s="177" t="s">
        <v>186</v>
      </c>
      <c r="J25" s="177">
        <v>2015</v>
      </c>
      <c r="K25" s="177" t="s">
        <v>187</v>
      </c>
      <c r="L25" s="178" t="s">
        <v>30</v>
      </c>
      <c r="M25" s="177"/>
      <c r="N25" s="177" t="s">
        <v>21</v>
      </c>
      <c r="O25"/>
      <c r="P25"/>
      <c r="Q25"/>
      <c r="R25"/>
    </row>
    <row r="26" spans="1:18" x14ac:dyDescent="0.35">
      <c r="A26" s="177" t="s">
        <v>188</v>
      </c>
      <c r="B26" s="177" t="s">
        <v>19</v>
      </c>
      <c r="C26" s="177" t="s">
        <v>1885</v>
      </c>
      <c r="D26" s="177" t="s">
        <v>189</v>
      </c>
      <c r="E26" s="177" t="s">
        <v>190</v>
      </c>
      <c r="F26" s="177" t="s">
        <v>21</v>
      </c>
      <c r="G26" s="177">
        <v>37965</v>
      </c>
      <c r="H26" s="177"/>
      <c r="I26" s="177" t="s">
        <v>191</v>
      </c>
      <c r="J26" s="177">
        <v>2015</v>
      </c>
      <c r="K26" s="177"/>
      <c r="L26" s="181" t="s">
        <v>23</v>
      </c>
      <c r="M26" s="177"/>
      <c r="N26" s="177" t="s">
        <v>21</v>
      </c>
      <c r="O26"/>
      <c r="P26"/>
      <c r="Q26"/>
      <c r="R26"/>
    </row>
    <row r="27" spans="1:18" x14ac:dyDescent="0.35">
      <c r="A27" s="177" t="s">
        <v>192</v>
      </c>
      <c r="B27" s="177" t="s">
        <v>19</v>
      </c>
      <c r="C27" s="177" t="s">
        <v>1885</v>
      </c>
      <c r="D27" s="177" t="s">
        <v>193</v>
      </c>
      <c r="E27" s="177" t="s">
        <v>194</v>
      </c>
      <c r="F27" s="177" t="s">
        <v>21</v>
      </c>
      <c r="G27" s="177">
        <v>36251</v>
      </c>
      <c r="H27" s="177"/>
      <c r="I27" s="177" t="s">
        <v>195</v>
      </c>
      <c r="J27" s="177">
        <v>2013</v>
      </c>
      <c r="K27" s="177"/>
      <c r="L27" s="181" t="s">
        <v>23</v>
      </c>
      <c r="M27" s="177"/>
      <c r="N27" s="177" t="s">
        <v>21</v>
      </c>
      <c r="O27"/>
      <c r="P27"/>
      <c r="Q27"/>
      <c r="R27"/>
    </row>
    <row r="28" spans="1:18" x14ac:dyDescent="0.35">
      <c r="A28" s="177" t="s">
        <v>196</v>
      </c>
      <c r="B28" s="177" t="s">
        <v>19</v>
      </c>
      <c r="C28" s="177" t="s">
        <v>1885</v>
      </c>
      <c r="D28" s="177" t="s">
        <v>197</v>
      </c>
      <c r="E28" s="177" t="s">
        <v>198</v>
      </c>
      <c r="F28" s="177" t="s">
        <v>21</v>
      </c>
      <c r="G28" s="177">
        <v>38727</v>
      </c>
      <c r="H28" s="177"/>
      <c r="I28" s="177" t="s">
        <v>199</v>
      </c>
      <c r="J28" s="177">
        <v>2015</v>
      </c>
      <c r="K28" s="177"/>
      <c r="L28" s="181" t="s">
        <v>23</v>
      </c>
      <c r="M28" s="177"/>
      <c r="N28" s="177" t="s">
        <v>21</v>
      </c>
      <c r="O28"/>
      <c r="P28"/>
      <c r="Q28"/>
      <c r="R28"/>
    </row>
    <row r="29" spans="1:18" x14ac:dyDescent="0.35">
      <c r="A29" s="177" t="s">
        <v>204</v>
      </c>
      <c r="B29" s="177" t="s">
        <v>19</v>
      </c>
      <c r="C29" s="177" t="s">
        <v>1885</v>
      </c>
      <c r="D29" s="177" t="s">
        <v>205</v>
      </c>
      <c r="E29" s="177" t="s">
        <v>206</v>
      </c>
      <c r="F29" s="177" t="s">
        <v>21</v>
      </c>
      <c r="G29" s="177">
        <v>35619</v>
      </c>
      <c r="H29" s="177" t="s">
        <v>207</v>
      </c>
      <c r="I29" s="177" t="s">
        <v>59</v>
      </c>
      <c r="J29" s="177">
        <v>2013</v>
      </c>
      <c r="K29" s="177" t="s">
        <v>60</v>
      </c>
      <c r="L29" s="184" t="s">
        <v>61</v>
      </c>
      <c r="M29" s="177"/>
      <c r="N29" s="177" t="s">
        <v>21</v>
      </c>
      <c r="O29"/>
      <c r="P29"/>
      <c r="Q29"/>
      <c r="R29"/>
    </row>
    <row r="30" spans="1:18" x14ac:dyDescent="0.35">
      <c r="A30" s="177" t="s">
        <v>208</v>
      </c>
      <c r="B30" s="177" t="s">
        <v>19</v>
      </c>
      <c r="C30" s="177" t="s">
        <v>1885</v>
      </c>
      <c r="D30" s="177" t="s">
        <v>209</v>
      </c>
      <c r="E30" s="177" t="s">
        <v>210</v>
      </c>
      <c r="F30" s="177" t="s">
        <v>21</v>
      </c>
      <c r="G30" s="177">
        <v>55249</v>
      </c>
      <c r="H30" s="177"/>
      <c r="I30" s="177" t="s">
        <v>211</v>
      </c>
      <c r="J30" s="177">
        <v>2021</v>
      </c>
      <c r="K30" s="177" t="s">
        <v>85</v>
      </c>
      <c r="L30" s="178" t="s">
        <v>30</v>
      </c>
      <c r="M30" s="177"/>
      <c r="N30" s="177" t="s">
        <v>212</v>
      </c>
      <c r="O30"/>
      <c r="P30"/>
      <c r="Q30"/>
      <c r="R30"/>
    </row>
    <row r="31" spans="1:18" x14ac:dyDescent="0.35">
      <c r="A31" s="177" t="s">
        <v>213</v>
      </c>
      <c r="B31" s="177" t="s">
        <v>19</v>
      </c>
      <c r="C31" s="177" t="s">
        <v>1885</v>
      </c>
      <c r="D31" s="177" t="s">
        <v>214</v>
      </c>
      <c r="E31" s="177" t="s">
        <v>215</v>
      </c>
      <c r="F31" s="177" t="s">
        <v>21</v>
      </c>
      <c r="G31" s="177">
        <v>36758</v>
      </c>
      <c r="H31" s="177"/>
      <c r="I31" s="177" t="s">
        <v>48</v>
      </c>
      <c r="J31" s="177">
        <v>2014</v>
      </c>
      <c r="K31" s="177"/>
      <c r="L31" s="181" t="s">
        <v>23</v>
      </c>
      <c r="M31" s="177"/>
      <c r="N31" s="177" t="s">
        <v>21</v>
      </c>
      <c r="O31"/>
      <c r="P31"/>
      <c r="Q31"/>
      <c r="R31"/>
    </row>
    <row r="32" spans="1:18" x14ac:dyDescent="0.35">
      <c r="A32" s="177" t="s">
        <v>221</v>
      </c>
      <c r="B32" s="177" t="s">
        <v>19</v>
      </c>
      <c r="C32" s="177" t="s">
        <v>1885</v>
      </c>
      <c r="D32" s="177" t="s">
        <v>222</v>
      </c>
      <c r="E32" s="177" t="s">
        <v>223</v>
      </c>
      <c r="F32" s="177" t="s">
        <v>21</v>
      </c>
      <c r="G32" s="177">
        <v>39292</v>
      </c>
      <c r="H32" s="177"/>
      <c r="I32" s="177" t="s">
        <v>224</v>
      </c>
      <c r="J32" s="177">
        <v>2016</v>
      </c>
      <c r="K32" s="177"/>
      <c r="L32" s="181" t="s">
        <v>23</v>
      </c>
      <c r="M32" s="177"/>
      <c r="N32" s="177" t="s">
        <v>21</v>
      </c>
      <c r="O32"/>
      <c r="P32"/>
      <c r="Q32"/>
      <c r="R32"/>
    </row>
    <row r="33" spans="1:18" x14ac:dyDescent="0.35">
      <c r="A33" s="177" t="s">
        <v>225</v>
      </c>
      <c r="B33" s="177" t="s">
        <v>19</v>
      </c>
      <c r="C33" s="177" t="s">
        <v>1885</v>
      </c>
      <c r="D33" s="177" t="s">
        <v>226</v>
      </c>
      <c r="E33" s="177" t="s">
        <v>227</v>
      </c>
      <c r="F33" s="177" t="s">
        <v>21</v>
      </c>
      <c r="G33" s="177">
        <v>38452</v>
      </c>
      <c r="H33" s="177"/>
      <c r="I33" s="177" t="s">
        <v>228</v>
      </c>
      <c r="J33" s="177">
        <v>2015</v>
      </c>
      <c r="K33" s="177"/>
      <c r="L33" s="181" t="s">
        <v>23</v>
      </c>
      <c r="M33" s="177"/>
      <c r="N33" s="177" t="s">
        <v>21</v>
      </c>
      <c r="O33"/>
      <c r="P33"/>
      <c r="Q33"/>
      <c r="R33"/>
    </row>
    <row r="34" spans="1:18" x14ac:dyDescent="0.35">
      <c r="A34" s="177" t="s">
        <v>237</v>
      </c>
      <c r="B34" s="177" t="s">
        <v>19</v>
      </c>
      <c r="C34" s="177" t="s">
        <v>1885</v>
      </c>
      <c r="D34" s="177" t="s">
        <v>238</v>
      </c>
      <c r="E34" s="177" t="s">
        <v>239</v>
      </c>
      <c r="F34" s="177" t="s">
        <v>21</v>
      </c>
      <c r="G34" s="177">
        <v>37512</v>
      </c>
      <c r="H34" s="177">
        <v>37512</v>
      </c>
      <c r="I34" s="180">
        <v>41954</v>
      </c>
      <c r="J34" s="177">
        <v>2014</v>
      </c>
      <c r="K34" s="177" t="s">
        <v>155</v>
      </c>
      <c r="L34" s="178" t="s">
        <v>30</v>
      </c>
      <c r="M34" s="177"/>
      <c r="N34" s="177" t="s">
        <v>21</v>
      </c>
      <c r="O34"/>
      <c r="P34"/>
      <c r="Q34"/>
      <c r="R34"/>
    </row>
    <row r="35" spans="1:18" x14ac:dyDescent="0.35">
      <c r="A35" s="177" t="s">
        <v>249</v>
      </c>
      <c r="B35" s="177" t="s">
        <v>19</v>
      </c>
      <c r="C35" s="177" t="s">
        <v>1885</v>
      </c>
      <c r="D35" s="177" t="s">
        <v>250</v>
      </c>
      <c r="E35" s="177" t="s">
        <v>251</v>
      </c>
      <c r="F35" s="177" t="s">
        <v>21</v>
      </c>
      <c r="G35" s="177">
        <v>36329</v>
      </c>
      <c r="H35" s="177">
        <v>36329</v>
      </c>
      <c r="I35" s="180">
        <v>41557</v>
      </c>
      <c r="J35" s="177">
        <v>2013</v>
      </c>
      <c r="K35" s="177" t="s">
        <v>252</v>
      </c>
      <c r="L35" s="178" t="s">
        <v>30</v>
      </c>
      <c r="M35" s="177"/>
      <c r="N35" s="177" t="s">
        <v>21</v>
      </c>
      <c r="O35"/>
      <c r="P35"/>
      <c r="Q35"/>
      <c r="R35"/>
    </row>
    <row r="36" spans="1:18" x14ac:dyDescent="0.35">
      <c r="A36" s="177" t="s">
        <v>253</v>
      </c>
      <c r="B36" s="177" t="s">
        <v>19</v>
      </c>
      <c r="C36" s="177" t="s">
        <v>1885</v>
      </c>
      <c r="D36" s="177" t="s">
        <v>254</v>
      </c>
      <c r="E36" s="177" t="s">
        <v>255</v>
      </c>
      <c r="F36" s="177" t="s">
        <v>21</v>
      </c>
      <c r="G36" s="177">
        <v>61700</v>
      </c>
      <c r="H36" s="177"/>
      <c r="I36" s="177" t="s">
        <v>256</v>
      </c>
      <c r="J36" s="177">
        <v>2023</v>
      </c>
      <c r="K36" s="177"/>
      <c r="L36" s="181" t="s">
        <v>23</v>
      </c>
      <c r="M36" s="177"/>
      <c r="N36" s="177" t="s">
        <v>90</v>
      </c>
      <c r="O36"/>
      <c r="P36"/>
      <c r="Q36"/>
      <c r="R36"/>
    </row>
    <row r="37" spans="1:18" x14ac:dyDescent="0.35">
      <c r="A37" s="177" t="s">
        <v>659</v>
      </c>
      <c r="B37" s="177" t="s">
        <v>19</v>
      </c>
      <c r="C37" s="177" t="s">
        <v>1885</v>
      </c>
      <c r="D37" s="177" t="s">
        <v>660</v>
      </c>
      <c r="E37" s="177" t="s">
        <v>661</v>
      </c>
      <c r="F37" s="177" t="s">
        <v>21</v>
      </c>
      <c r="G37" s="177">
        <v>54575</v>
      </c>
      <c r="H37" s="177"/>
      <c r="I37" s="177" t="s">
        <v>662</v>
      </c>
      <c r="J37" s="177">
        <v>2021</v>
      </c>
      <c r="K37" s="177" t="s">
        <v>663</v>
      </c>
      <c r="L37" s="178" t="s">
        <v>30</v>
      </c>
      <c r="M37" s="177"/>
      <c r="N37" s="177" t="s">
        <v>21</v>
      </c>
      <c r="O37"/>
      <c r="P37"/>
      <c r="Q37"/>
      <c r="R37"/>
    </row>
    <row r="38" spans="1:18" x14ac:dyDescent="0.35">
      <c r="A38" s="177" t="s">
        <v>270</v>
      </c>
      <c r="B38" s="177" t="s">
        <v>19</v>
      </c>
      <c r="C38" s="177" t="s">
        <v>1885</v>
      </c>
      <c r="D38" s="177" t="s">
        <v>271</v>
      </c>
      <c r="E38" s="177" t="s">
        <v>239</v>
      </c>
      <c r="F38" s="177" t="s">
        <v>21</v>
      </c>
      <c r="G38" s="177">
        <v>37510</v>
      </c>
      <c r="H38" s="177">
        <v>37510</v>
      </c>
      <c r="I38" s="180">
        <v>41954</v>
      </c>
      <c r="J38" s="177">
        <v>2014</v>
      </c>
      <c r="K38" s="177" t="s">
        <v>272</v>
      </c>
      <c r="L38" s="184" t="s">
        <v>273</v>
      </c>
      <c r="M38" s="177"/>
      <c r="N38" s="177" t="s">
        <v>21</v>
      </c>
      <c r="O38"/>
      <c r="P38"/>
      <c r="Q38"/>
      <c r="R38"/>
    </row>
    <row r="39" spans="1:18" x14ac:dyDescent="0.35">
      <c r="A39" s="177" t="s">
        <v>743</v>
      </c>
      <c r="B39" s="177" t="s">
        <v>19</v>
      </c>
      <c r="C39" s="177" t="s">
        <v>1885</v>
      </c>
      <c r="D39" s="177" t="s">
        <v>744</v>
      </c>
      <c r="E39" s="177" t="s">
        <v>745</v>
      </c>
      <c r="F39" s="177" t="s">
        <v>21</v>
      </c>
      <c r="G39" s="177">
        <v>41726</v>
      </c>
      <c r="H39" s="177">
        <v>41726</v>
      </c>
      <c r="I39" s="177" t="s">
        <v>588</v>
      </c>
      <c r="J39" s="177">
        <v>2017</v>
      </c>
      <c r="K39" s="177" t="s">
        <v>220</v>
      </c>
      <c r="L39" s="178" t="s">
        <v>30</v>
      </c>
      <c r="M39" s="177"/>
      <c r="N39" s="177" t="s">
        <v>21</v>
      </c>
      <c r="O39"/>
      <c r="P39"/>
      <c r="Q39"/>
      <c r="R39"/>
    </row>
    <row r="40" spans="1:18" x14ac:dyDescent="0.35">
      <c r="A40" s="183" t="s">
        <v>2336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/>
      <c r="P40"/>
      <c r="Q40"/>
      <c r="R40"/>
    </row>
    <row r="41" spans="1:18" x14ac:dyDescent="0.35">
      <c r="A41" s="177" t="s">
        <v>441</v>
      </c>
      <c r="B41" s="177" t="s">
        <v>19</v>
      </c>
      <c r="C41" s="177" t="s">
        <v>1926</v>
      </c>
      <c r="D41" s="177" t="s">
        <v>442</v>
      </c>
      <c r="E41" s="177" t="s">
        <v>443</v>
      </c>
      <c r="F41" s="177" t="s">
        <v>21</v>
      </c>
      <c r="G41" s="177">
        <v>35509</v>
      </c>
      <c r="H41" s="177">
        <v>35228</v>
      </c>
      <c r="I41" s="177" t="s">
        <v>444</v>
      </c>
      <c r="J41" s="177">
        <v>2012</v>
      </c>
      <c r="K41" s="177" t="s">
        <v>445</v>
      </c>
      <c r="L41" s="178" t="s">
        <v>30</v>
      </c>
      <c r="M41" s="177"/>
      <c r="N41" s="177" t="s">
        <v>21</v>
      </c>
      <c r="O41"/>
      <c r="P41"/>
      <c r="Q41"/>
      <c r="R41"/>
    </row>
    <row r="42" spans="1:18" x14ac:dyDescent="0.35">
      <c r="A42" s="177" t="s">
        <v>389</v>
      </c>
      <c r="B42" s="177" t="s">
        <v>19</v>
      </c>
      <c r="C42" s="177" t="s">
        <v>1926</v>
      </c>
      <c r="D42" s="177" t="s">
        <v>390</v>
      </c>
      <c r="E42" s="177" t="s">
        <v>391</v>
      </c>
      <c r="F42" s="177" t="s">
        <v>21</v>
      </c>
      <c r="G42" s="177">
        <v>37537</v>
      </c>
      <c r="H42" s="177"/>
      <c r="I42" s="177" t="s">
        <v>392</v>
      </c>
      <c r="J42" s="177">
        <v>2014</v>
      </c>
      <c r="K42" s="177"/>
      <c r="L42" s="181" t="s">
        <v>23</v>
      </c>
      <c r="M42" s="177"/>
      <c r="N42" s="177" t="s">
        <v>21</v>
      </c>
      <c r="O42"/>
      <c r="P42"/>
      <c r="Q42"/>
      <c r="R42"/>
    </row>
    <row r="43" spans="1:18" x14ac:dyDescent="0.35">
      <c r="A43" s="177" t="s">
        <v>67</v>
      </c>
      <c r="B43" s="177" t="s">
        <v>19</v>
      </c>
      <c r="C43" s="177" t="s">
        <v>1926</v>
      </c>
      <c r="D43" s="177" t="s">
        <v>68</v>
      </c>
      <c r="E43" s="177" t="s">
        <v>69</v>
      </c>
      <c r="F43" s="177" t="s">
        <v>21</v>
      </c>
      <c r="G43" s="177">
        <v>36129</v>
      </c>
      <c r="H43" s="177"/>
      <c r="I43" s="177" t="s">
        <v>70</v>
      </c>
      <c r="J43" s="177">
        <v>2013</v>
      </c>
      <c r="K43" s="177"/>
      <c r="L43" s="181" t="s">
        <v>23</v>
      </c>
      <c r="M43" s="177"/>
      <c r="N43" s="177" t="s">
        <v>21</v>
      </c>
      <c r="O43"/>
      <c r="P43"/>
      <c r="Q43"/>
      <c r="R43"/>
    </row>
    <row r="44" spans="1:18" x14ac:dyDescent="0.35">
      <c r="A44" s="177" t="s">
        <v>399</v>
      </c>
      <c r="B44" s="177" t="s">
        <v>19</v>
      </c>
      <c r="C44" s="177" t="s">
        <v>1926</v>
      </c>
      <c r="D44" s="177" t="s">
        <v>400</v>
      </c>
      <c r="E44" s="177" t="s">
        <v>401</v>
      </c>
      <c r="F44" s="177" t="s">
        <v>21</v>
      </c>
      <c r="G44" s="177">
        <v>47835</v>
      </c>
      <c r="H44" s="177"/>
      <c r="I44" s="177" t="s">
        <v>402</v>
      </c>
      <c r="J44" s="177">
        <v>2019</v>
      </c>
      <c r="K44" s="177" t="s">
        <v>403</v>
      </c>
      <c r="L44" s="178" t="s">
        <v>30</v>
      </c>
      <c r="M44" s="177"/>
      <c r="N44" s="177" t="s">
        <v>21</v>
      </c>
      <c r="O44"/>
      <c r="P44"/>
      <c r="Q44"/>
      <c r="R44"/>
    </row>
    <row r="45" spans="1:18" x14ac:dyDescent="0.35">
      <c r="A45" s="177" t="s">
        <v>404</v>
      </c>
      <c r="B45" s="177" t="s">
        <v>19</v>
      </c>
      <c r="C45" s="177" t="s">
        <v>1926</v>
      </c>
      <c r="D45" s="177" t="s">
        <v>405</v>
      </c>
      <c r="E45" s="177" t="s">
        <v>406</v>
      </c>
      <c r="F45" s="177" t="s">
        <v>21</v>
      </c>
      <c r="G45" s="177">
        <v>55255</v>
      </c>
      <c r="H45" s="177"/>
      <c r="I45" s="177" t="s">
        <v>84</v>
      </c>
      <c r="J45" s="177">
        <v>2021</v>
      </c>
      <c r="K45" s="177" t="s">
        <v>85</v>
      </c>
      <c r="L45" s="178" t="s">
        <v>30</v>
      </c>
      <c r="M45" s="177"/>
      <c r="N45" s="177" t="s">
        <v>21</v>
      </c>
      <c r="O45"/>
      <c r="P45"/>
      <c r="Q45"/>
      <c r="R45"/>
    </row>
    <row r="46" spans="1:18" x14ac:dyDescent="0.35">
      <c r="A46" s="177" t="s">
        <v>407</v>
      </c>
      <c r="B46" s="177" t="s">
        <v>19</v>
      </c>
      <c r="C46" s="177" t="s">
        <v>1926</v>
      </c>
      <c r="D46" s="177" t="s">
        <v>408</v>
      </c>
      <c r="E46" s="177" t="s">
        <v>409</v>
      </c>
      <c r="F46" s="177" t="s">
        <v>21</v>
      </c>
      <c r="G46" s="177">
        <v>40802</v>
      </c>
      <c r="H46" s="177">
        <v>40802</v>
      </c>
      <c r="I46" s="177" t="s">
        <v>410</v>
      </c>
      <c r="J46" s="177">
        <v>2017</v>
      </c>
      <c r="K46" s="177" t="s">
        <v>220</v>
      </c>
      <c r="L46" s="178" t="s">
        <v>30</v>
      </c>
      <c r="M46" s="177"/>
      <c r="N46" s="177" t="s">
        <v>21</v>
      </c>
      <c r="O46"/>
      <c r="P46"/>
      <c r="Q46"/>
      <c r="R46"/>
    </row>
    <row r="47" spans="1:18" x14ac:dyDescent="0.35">
      <c r="A47" s="177" t="s">
        <v>240</v>
      </c>
      <c r="B47" s="177" t="s">
        <v>19</v>
      </c>
      <c r="C47" s="177" t="s">
        <v>1926</v>
      </c>
      <c r="D47" s="177" t="s">
        <v>241</v>
      </c>
      <c r="E47" s="177" t="s">
        <v>242</v>
      </c>
      <c r="F47" s="177" t="s">
        <v>21</v>
      </c>
      <c r="G47" s="177">
        <v>35149</v>
      </c>
      <c r="H47" s="177">
        <v>34933</v>
      </c>
      <c r="I47" s="177" t="s">
        <v>243</v>
      </c>
      <c r="J47" s="177">
        <v>2012</v>
      </c>
      <c r="K47" s="177" t="s">
        <v>66</v>
      </c>
      <c r="L47" s="178" t="s">
        <v>30</v>
      </c>
      <c r="M47" s="177"/>
      <c r="N47" s="177" t="s">
        <v>21</v>
      </c>
      <c r="O47"/>
      <c r="P47"/>
      <c r="Q47"/>
      <c r="R47"/>
    </row>
    <row r="48" spans="1:18" x14ac:dyDescent="0.35">
      <c r="A48" s="177" t="s">
        <v>262</v>
      </c>
      <c r="B48" s="177" t="s">
        <v>19</v>
      </c>
      <c r="C48" s="177" t="s">
        <v>1926</v>
      </c>
      <c r="D48" s="177" t="s">
        <v>263</v>
      </c>
      <c r="E48" s="177" t="s">
        <v>264</v>
      </c>
      <c r="F48" s="177" t="s">
        <v>21</v>
      </c>
      <c r="G48" s="177">
        <v>35011</v>
      </c>
      <c r="H48" s="177">
        <v>34790</v>
      </c>
      <c r="I48" s="177" t="s">
        <v>65</v>
      </c>
      <c r="J48" s="177">
        <v>2012</v>
      </c>
      <c r="K48" s="177" t="s">
        <v>60</v>
      </c>
      <c r="L48" s="184" t="s">
        <v>61</v>
      </c>
      <c r="M48" s="177"/>
      <c r="N48" s="177" t="s">
        <v>21</v>
      </c>
      <c r="O48"/>
      <c r="P48"/>
      <c r="Q48"/>
      <c r="R48"/>
    </row>
    <row r="49" spans="1:18" x14ac:dyDescent="0.35">
      <c r="A49" s="177" t="s">
        <v>265</v>
      </c>
      <c r="B49" s="177" t="s">
        <v>19</v>
      </c>
      <c r="C49" s="177" t="s">
        <v>1926</v>
      </c>
      <c r="D49" s="177" t="s">
        <v>266</v>
      </c>
      <c r="E49" s="177" t="s">
        <v>267</v>
      </c>
      <c r="F49" s="177" t="s">
        <v>21</v>
      </c>
      <c r="G49" s="177">
        <v>36965</v>
      </c>
      <c r="H49" s="177">
        <v>36965</v>
      </c>
      <c r="I49" s="177" t="s">
        <v>268</v>
      </c>
      <c r="J49" s="177">
        <v>2014</v>
      </c>
      <c r="K49" s="177" t="s">
        <v>269</v>
      </c>
      <c r="L49" s="178" t="s">
        <v>30</v>
      </c>
      <c r="M49" s="177"/>
      <c r="N49" s="177" t="s">
        <v>21</v>
      </c>
      <c r="O49"/>
      <c r="P49"/>
      <c r="Q49"/>
      <c r="R49"/>
    </row>
    <row r="50" spans="1:18" x14ac:dyDescent="0.35">
      <c r="A50" s="177" t="s">
        <v>121</v>
      </c>
      <c r="B50" s="177" t="s">
        <v>19</v>
      </c>
      <c r="C50" s="177" t="s">
        <v>1926</v>
      </c>
      <c r="D50" s="177" t="s">
        <v>122</v>
      </c>
      <c r="E50" s="177" t="s">
        <v>123</v>
      </c>
      <c r="F50" s="177" t="s">
        <v>21</v>
      </c>
      <c r="G50" s="177">
        <v>39542</v>
      </c>
      <c r="H50" s="177">
        <v>39542</v>
      </c>
      <c r="I50" s="177" t="s">
        <v>124</v>
      </c>
      <c r="J50" s="177">
        <v>2016</v>
      </c>
      <c r="K50" s="177" t="s">
        <v>125</v>
      </c>
      <c r="L50" s="178" t="s">
        <v>30</v>
      </c>
      <c r="M50" s="177"/>
      <c r="N50" s="177" t="s">
        <v>21</v>
      </c>
      <c r="O50"/>
      <c r="P50"/>
      <c r="Q50"/>
      <c r="R50"/>
    </row>
    <row r="51" spans="1:18" x14ac:dyDescent="0.35">
      <c r="A51" s="177" t="s">
        <v>689</v>
      </c>
      <c r="B51" s="177" t="s">
        <v>19</v>
      </c>
      <c r="C51" s="177" t="s">
        <v>1926</v>
      </c>
      <c r="D51" s="177" t="s">
        <v>690</v>
      </c>
      <c r="E51" s="177" t="s">
        <v>691</v>
      </c>
      <c r="F51" s="177" t="s">
        <v>21</v>
      </c>
      <c r="G51" s="177">
        <v>38269</v>
      </c>
      <c r="H51" s="177"/>
      <c r="I51" s="180">
        <v>42284</v>
      </c>
      <c r="J51" s="177">
        <v>2015</v>
      </c>
      <c r="K51" s="177"/>
      <c r="L51" s="181" t="s">
        <v>23</v>
      </c>
      <c r="M51" s="177"/>
      <c r="N51" s="177"/>
      <c r="O51"/>
      <c r="P51"/>
      <c r="Q51"/>
      <c r="R51"/>
    </row>
    <row r="52" spans="1:18" x14ac:dyDescent="0.35">
      <c r="A52" s="177" t="s">
        <v>126</v>
      </c>
      <c r="B52" s="177" t="s">
        <v>19</v>
      </c>
      <c r="C52" s="177" t="s">
        <v>1926</v>
      </c>
      <c r="D52" s="177" t="s">
        <v>127</v>
      </c>
      <c r="E52" s="177" t="s">
        <v>128</v>
      </c>
      <c r="F52" s="177" t="s">
        <v>21</v>
      </c>
      <c r="G52" s="177">
        <v>37273</v>
      </c>
      <c r="H52" s="177"/>
      <c r="I52" s="180">
        <v>41859</v>
      </c>
      <c r="J52" s="177">
        <v>2014</v>
      </c>
      <c r="K52" s="177"/>
      <c r="L52" s="181" t="s">
        <v>23</v>
      </c>
      <c r="M52" s="177"/>
      <c r="N52" s="177"/>
      <c r="O52"/>
      <c r="P52"/>
      <c r="Q52"/>
      <c r="R52"/>
    </row>
    <row r="53" spans="1:18" x14ac:dyDescent="0.35">
      <c r="A53" s="177" t="s">
        <v>175</v>
      </c>
      <c r="B53" s="177" t="s">
        <v>19</v>
      </c>
      <c r="C53" s="177" t="s">
        <v>1926</v>
      </c>
      <c r="D53" s="177" t="s">
        <v>176</v>
      </c>
      <c r="E53" s="177" t="s">
        <v>177</v>
      </c>
      <c r="F53" s="177" t="s">
        <v>21</v>
      </c>
      <c r="G53" s="177">
        <v>36097</v>
      </c>
      <c r="H53" s="177">
        <v>36097</v>
      </c>
      <c r="I53" s="180">
        <v>41493</v>
      </c>
      <c r="J53" s="177">
        <v>2013</v>
      </c>
      <c r="K53" s="177"/>
      <c r="L53" s="181" t="s">
        <v>23</v>
      </c>
      <c r="M53" s="177"/>
      <c r="N53" s="177" t="s">
        <v>21</v>
      </c>
      <c r="O53"/>
      <c r="P53"/>
      <c r="Q53"/>
      <c r="R53"/>
    </row>
    <row r="54" spans="1:18" x14ac:dyDescent="0.35">
      <c r="A54" s="183" t="s">
        <v>2337</v>
      </c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/>
      <c r="P54"/>
      <c r="Q54"/>
      <c r="R54"/>
    </row>
    <row r="55" spans="1:18" x14ac:dyDescent="0.35">
      <c r="A55" s="177" t="s">
        <v>81</v>
      </c>
      <c r="B55" s="177" t="s">
        <v>19</v>
      </c>
      <c r="C55" s="177" t="s">
        <v>1842</v>
      </c>
      <c r="D55" s="177" t="s">
        <v>82</v>
      </c>
      <c r="E55" s="177" t="s">
        <v>83</v>
      </c>
      <c r="F55" s="177" t="s">
        <v>21</v>
      </c>
      <c r="G55" s="177">
        <v>55256</v>
      </c>
      <c r="H55" s="177"/>
      <c r="I55" s="177" t="s">
        <v>84</v>
      </c>
      <c r="J55" s="177">
        <v>2021</v>
      </c>
      <c r="K55" s="177" t="s">
        <v>85</v>
      </c>
      <c r="L55" s="178" t="s">
        <v>30</v>
      </c>
      <c r="M55" s="177"/>
      <c r="N55" s="177" t="s">
        <v>21</v>
      </c>
      <c r="O55"/>
      <c r="P55"/>
      <c r="Q55"/>
      <c r="R55"/>
    </row>
    <row r="56" spans="1:18" x14ac:dyDescent="0.35">
      <c r="A56" s="177" t="s">
        <v>86</v>
      </c>
      <c r="B56" s="177" t="s">
        <v>19</v>
      </c>
      <c r="C56" s="177" t="s">
        <v>1842</v>
      </c>
      <c r="D56" s="177" t="s">
        <v>87</v>
      </c>
      <c r="E56" s="177" t="s">
        <v>88</v>
      </c>
      <c r="F56" s="177" t="s">
        <v>21</v>
      </c>
      <c r="G56" s="177">
        <v>60480</v>
      </c>
      <c r="H56" s="177"/>
      <c r="I56" s="177" t="s">
        <v>89</v>
      </c>
      <c r="J56" s="177">
        <v>2023</v>
      </c>
      <c r="K56" s="177"/>
      <c r="L56" s="181" t="s">
        <v>23</v>
      </c>
      <c r="M56" s="177"/>
      <c r="N56" s="177" t="s">
        <v>90</v>
      </c>
      <c r="O56"/>
      <c r="P56"/>
      <c r="Q56"/>
      <c r="R56"/>
    </row>
    <row r="57" spans="1:18" x14ac:dyDescent="0.35">
      <c r="A57" s="177" t="s">
        <v>216</v>
      </c>
      <c r="B57" s="177" t="s">
        <v>19</v>
      </c>
      <c r="C57" s="177" t="s">
        <v>1842</v>
      </c>
      <c r="D57" s="177" t="s">
        <v>217</v>
      </c>
      <c r="E57" s="177" t="s">
        <v>218</v>
      </c>
      <c r="F57" s="177" t="s">
        <v>21</v>
      </c>
      <c r="G57" s="177">
        <v>41744</v>
      </c>
      <c r="H57" s="177">
        <v>41744</v>
      </c>
      <c r="I57" s="177" t="s">
        <v>219</v>
      </c>
      <c r="J57" s="177">
        <v>2017</v>
      </c>
      <c r="K57" s="177" t="s">
        <v>220</v>
      </c>
      <c r="L57" s="178" t="s">
        <v>30</v>
      </c>
      <c r="M57" s="177"/>
      <c r="N57" s="177" t="s">
        <v>21</v>
      </c>
      <c r="O57"/>
      <c r="P57"/>
      <c r="Q57"/>
      <c r="R57"/>
    </row>
    <row r="58" spans="1:18" x14ac:dyDescent="0.35">
      <c r="A58" s="177" t="s">
        <v>97</v>
      </c>
      <c r="B58" s="177" t="s">
        <v>19</v>
      </c>
      <c r="C58" s="177" t="s">
        <v>1842</v>
      </c>
      <c r="D58" s="177" t="s">
        <v>98</v>
      </c>
      <c r="E58" s="177" t="s">
        <v>99</v>
      </c>
      <c r="F58" s="177" t="s">
        <v>21</v>
      </c>
      <c r="G58" s="177">
        <v>39662</v>
      </c>
      <c r="H58" s="177"/>
      <c r="I58" s="177" t="s">
        <v>100</v>
      </c>
      <c r="J58" s="177">
        <v>2016</v>
      </c>
      <c r="K58" s="177"/>
      <c r="L58" s="181" t="s">
        <v>23</v>
      </c>
      <c r="M58" s="177"/>
      <c r="N58" s="177" t="s">
        <v>21</v>
      </c>
      <c r="O58"/>
      <c r="P58"/>
      <c r="Q58"/>
      <c r="R58"/>
    </row>
    <row r="59" spans="1:18" x14ac:dyDescent="0.35">
      <c r="A59" s="177" t="s">
        <v>512</v>
      </c>
      <c r="B59" s="177" t="s">
        <v>19</v>
      </c>
      <c r="C59" s="177" t="s">
        <v>1842</v>
      </c>
      <c r="D59" s="177" t="s">
        <v>513</v>
      </c>
      <c r="E59" s="177" t="s">
        <v>514</v>
      </c>
      <c r="F59" s="177" t="s">
        <v>21</v>
      </c>
      <c r="G59" s="177">
        <v>38765</v>
      </c>
      <c r="H59" s="177"/>
      <c r="I59" s="177" t="s">
        <v>186</v>
      </c>
      <c r="J59" s="177">
        <v>2015</v>
      </c>
      <c r="K59" s="177"/>
      <c r="L59" s="181" t="s">
        <v>23</v>
      </c>
      <c r="M59" s="177"/>
      <c r="N59" s="177" t="s">
        <v>21</v>
      </c>
      <c r="O59"/>
      <c r="P59"/>
      <c r="Q59"/>
      <c r="R59"/>
    </row>
    <row r="60" spans="1:18" x14ac:dyDescent="0.35">
      <c r="A60" s="177" t="s">
        <v>421</v>
      </c>
      <c r="B60" s="177" t="s">
        <v>19</v>
      </c>
      <c r="C60" s="177" t="s">
        <v>1842</v>
      </c>
      <c r="D60" s="177" t="s">
        <v>422</v>
      </c>
      <c r="E60" s="177" t="s">
        <v>423</v>
      </c>
      <c r="F60" s="177" t="s">
        <v>21</v>
      </c>
      <c r="G60" s="177">
        <v>47858</v>
      </c>
      <c r="H60" s="177"/>
      <c r="I60" s="177" t="s">
        <v>424</v>
      </c>
      <c r="J60" s="177">
        <v>2019</v>
      </c>
      <c r="K60" s="177" t="s">
        <v>425</v>
      </c>
      <c r="L60" s="178" t="s">
        <v>30</v>
      </c>
      <c r="M60" s="177"/>
      <c r="N60" s="177" t="s">
        <v>21</v>
      </c>
      <c r="O60"/>
      <c r="P60"/>
      <c r="Q60"/>
      <c r="R60"/>
    </row>
    <row r="61" spans="1:18" x14ac:dyDescent="0.35">
      <c r="A61" s="177" t="s">
        <v>426</v>
      </c>
      <c r="B61" s="177" t="s">
        <v>19</v>
      </c>
      <c r="C61" s="177" t="s">
        <v>1842</v>
      </c>
      <c r="D61" s="177" t="s">
        <v>427</v>
      </c>
      <c r="E61" s="177" t="s">
        <v>428</v>
      </c>
      <c r="F61" s="177" t="s">
        <v>21</v>
      </c>
      <c r="G61" s="177">
        <v>51974</v>
      </c>
      <c r="H61" s="177"/>
      <c r="I61" s="177" t="s">
        <v>159</v>
      </c>
      <c r="J61" s="177">
        <v>2020</v>
      </c>
      <c r="K61" s="177"/>
      <c r="L61" s="181" t="s">
        <v>23</v>
      </c>
      <c r="M61" s="177"/>
      <c r="N61" s="177" t="s">
        <v>21</v>
      </c>
      <c r="O61"/>
      <c r="P61"/>
      <c r="Q61"/>
      <c r="R61"/>
    </row>
    <row r="62" spans="1:18" x14ac:dyDescent="0.35">
      <c r="A62" s="177" t="s">
        <v>429</v>
      </c>
      <c r="B62" s="177" t="s">
        <v>19</v>
      </c>
      <c r="C62" s="177" t="s">
        <v>1842</v>
      </c>
      <c r="D62" s="177" t="s">
        <v>430</v>
      </c>
      <c r="E62" s="177" t="s">
        <v>423</v>
      </c>
      <c r="F62" s="177" t="s">
        <v>21</v>
      </c>
      <c r="G62" s="177">
        <v>43337</v>
      </c>
      <c r="H62" s="177">
        <v>43337</v>
      </c>
      <c r="I62" s="177" t="s">
        <v>431</v>
      </c>
      <c r="J62" s="177">
        <v>2018</v>
      </c>
      <c r="K62" s="177" t="s">
        <v>432</v>
      </c>
      <c r="L62" s="178" t="s">
        <v>30</v>
      </c>
      <c r="M62" s="177"/>
      <c r="N62" s="177" t="s">
        <v>21</v>
      </c>
      <c r="O62"/>
      <c r="P62"/>
      <c r="Q62"/>
      <c r="R62"/>
    </row>
    <row r="63" spans="1:18" x14ac:dyDescent="0.35">
      <c r="A63" s="177" t="s">
        <v>113</v>
      </c>
      <c r="B63" s="177" t="s">
        <v>19</v>
      </c>
      <c r="C63" s="177" t="s">
        <v>1842</v>
      </c>
      <c r="D63" s="177" t="s">
        <v>114</v>
      </c>
      <c r="E63" s="177" t="s">
        <v>115</v>
      </c>
      <c r="F63" s="177" t="s">
        <v>21</v>
      </c>
      <c r="G63" s="177">
        <v>44365</v>
      </c>
      <c r="H63" s="177">
        <v>44365</v>
      </c>
      <c r="I63" s="177" t="s">
        <v>116</v>
      </c>
      <c r="J63" s="177">
        <v>2018</v>
      </c>
      <c r="K63" s="177" t="s">
        <v>117</v>
      </c>
      <c r="L63" s="178" t="s">
        <v>30</v>
      </c>
      <c r="M63" s="177"/>
      <c r="N63" s="177" t="s">
        <v>21</v>
      </c>
      <c r="O63"/>
      <c r="P63"/>
      <c r="Q63"/>
      <c r="R63"/>
    </row>
    <row r="64" spans="1:18" x14ac:dyDescent="0.35">
      <c r="A64" s="177" t="s">
        <v>673</v>
      </c>
      <c r="B64" s="177" t="s">
        <v>19</v>
      </c>
      <c r="C64" s="177" t="s">
        <v>1842</v>
      </c>
      <c r="D64" s="177" t="s">
        <v>674</v>
      </c>
      <c r="E64" s="177" t="s">
        <v>675</v>
      </c>
      <c r="F64" s="177" t="s">
        <v>21</v>
      </c>
      <c r="G64" s="177">
        <v>52332</v>
      </c>
      <c r="H64" s="177"/>
      <c r="I64" s="177" t="s">
        <v>676</v>
      </c>
      <c r="J64" s="177">
        <v>2021</v>
      </c>
      <c r="K64" s="177" t="s">
        <v>677</v>
      </c>
      <c r="L64" s="178" t="s">
        <v>30</v>
      </c>
      <c r="M64" s="177"/>
      <c r="N64" s="177" t="s">
        <v>678</v>
      </c>
      <c r="O64"/>
      <c r="P64"/>
      <c r="Q64"/>
      <c r="R64"/>
    </row>
    <row r="65" spans="1:18" x14ac:dyDescent="0.35">
      <c r="A65" s="177" t="s">
        <v>151</v>
      </c>
      <c r="B65" s="177" t="s">
        <v>19</v>
      </c>
      <c r="C65" s="177" t="s">
        <v>1842</v>
      </c>
      <c r="D65" s="177" t="s">
        <v>152</v>
      </c>
      <c r="E65" s="177" t="s">
        <v>153</v>
      </c>
      <c r="F65" s="177" t="s">
        <v>21</v>
      </c>
      <c r="G65" s="177">
        <v>37435</v>
      </c>
      <c r="H65" s="177">
        <v>37435</v>
      </c>
      <c r="I65" s="177" t="s">
        <v>154</v>
      </c>
      <c r="J65" s="177">
        <v>2014</v>
      </c>
      <c r="K65" s="177" t="s">
        <v>155</v>
      </c>
      <c r="L65" s="178" t="s">
        <v>30</v>
      </c>
      <c r="M65" s="177"/>
      <c r="N65" s="177" t="s">
        <v>21</v>
      </c>
      <c r="O65"/>
      <c r="P65"/>
      <c r="Q65"/>
      <c r="R65"/>
    </row>
    <row r="66" spans="1:18" x14ac:dyDescent="0.35">
      <c r="A66" s="177" t="s">
        <v>813</v>
      </c>
      <c r="B66" s="177" t="s">
        <v>19</v>
      </c>
      <c r="C66" s="177" t="s">
        <v>1842</v>
      </c>
      <c r="D66" s="177" t="s">
        <v>814</v>
      </c>
      <c r="E66" s="177" t="s">
        <v>815</v>
      </c>
      <c r="F66" s="177" t="s">
        <v>21</v>
      </c>
      <c r="G66" s="177">
        <v>38901</v>
      </c>
      <c r="H66" s="177">
        <v>38901</v>
      </c>
      <c r="I66" s="180">
        <v>42616</v>
      </c>
      <c r="J66" s="177">
        <v>2016</v>
      </c>
      <c r="K66" s="177" t="s">
        <v>187</v>
      </c>
      <c r="L66" s="178" t="s">
        <v>30</v>
      </c>
      <c r="M66" s="177"/>
      <c r="N66" s="177" t="s">
        <v>21</v>
      </c>
      <c r="O66"/>
      <c r="P66"/>
      <c r="Q66"/>
      <c r="R66"/>
    </row>
    <row r="67" spans="1:18" x14ac:dyDescent="0.35">
      <c r="A67" s="183" t="s">
        <v>2338</v>
      </c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/>
      <c r="P67"/>
      <c r="Q67"/>
      <c r="R67"/>
    </row>
    <row r="68" spans="1:18" x14ac:dyDescent="0.35">
      <c r="A68" s="177" t="s">
        <v>41</v>
      </c>
      <c r="B68" s="177" t="s">
        <v>19</v>
      </c>
      <c r="C68" s="177" t="s">
        <v>1861</v>
      </c>
      <c r="D68" s="177" t="s">
        <v>42</v>
      </c>
      <c r="E68" s="177" t="s">
        <v>43</v>
      </c>
      <c r="F68" s="177" t="s">
        <v>21</v>
      </c>
      <c r="G68" s="177">
        <v>36580</v>
      </c>
      <c r="H68" s="177"/>
      <c r="I68" s="177" t="s">
        <v>44</v>
      </c>
      <c r="J68" s="177">
        <v>2013</v>
      </c>
      <c r="K68" s="177"/>
      <c r="L68" s="181" t="s">
        <v>23</v>
      </c>
      <c r="M68" s="177"/>
      <c r="N68" s="177" t="s">
        <v>21</v>
      </c>
      <c r="O68"/>
      <c r="P68"/>
      <c r="Q68"/>
      <c r="R68"/>
    </row>
    <row r="69" spans="1:18" x14ac:dyDescent="0.35">
      <c r="A69" s="177" t="s">
        <v>45</v>
      </c>
      <c r="B69" s="177" t="s">
        <v>19</v>
      </c>
      <c r="C69" s="177" t="s">
        <v>1861</v>
      </c>
      <c r="D69" s="177" t="s">
        <v>46</v>
      </c>
      <c r="E69" s="177" t="s">
        <v>47</v>
      </c>
      <c r="F69" s="177" t="s">
        <v>21</v>
      </c>
      <c r="G69" s="177">
        <v>36757</v>
      </c>
      <c r="H69" s="177"/>
      <c r="I69" s="177" t="s">
        <v>48</v>
      </c>
      <c r="J69" s="177">
        <v>2014</v>
      </c>
      <c r="K69" s="177"/>
      <c r="L69" s="181" t="s">
        <v>23</v>
      </c>
      <c r="M69" s="177"/>
      <c r="N69" s="177" t="s">
        <v>21</v>
      </c>
      <c r="O69"/>
      <c r="P69"/>
      <c r="Q69"/>
      <c r="R69"/>
    </row>
    <row r="70" spans="1:18" x14ac:dyDescent="0.35">
      <c r="A70" s="177" t="s">
        <v>49</v>
      </c>
      <c r="B70" s="177" t="s">
        <v>19</v>
      </c>
      <c r="C70" s="177" t="s">
        <v>1861</v>
      </c>
      <c r="D70" s="177" t="s">
        <v>50</v>
      </c>
      <c r="E70" s="177" t="s">
        <v>51</v>
      </c>
      <c r="F70" s="177" t="s">
        <v>21</v>
      </c>
      <c r="G70" s="177">
        <v>57945</v>
      </c>
      <c r="H70" s="177"/>
      <c r="I70" s="177" t="s">
        <v>52</v>
      </c>
      <c r="J70" s="177">
        <v>2022</v>
      </c>
      <c r="K70" s="177"/>
      <c r="L70" s="181" t="s">
        <v>23</v>
      </c>
      <c r="M70" s="177"/>
      <c r="N70" s="177" t="s">
        <v>21</v>
      </c>
      <c r="O70"/>
      <c r="P70"/>
      <c r="Q70"/>
      <c r="R70"/>
    </row>
    <row r="71" spans="1:18" x14ac:dyDescent="0.35">
      <c r="A71" s="177" t="s">
        <v>53</v>
      </c>
      <c r="B71" s="177" t="s">
        <v>19</v>
      </c>
      <c r="C71" s="177" t="s">
        <v>1861</v>
      </c>
      <c r="D71" s="177" t="s">
        <v>54</v>
      </c>
      <c r="E71" s="177" t="s">
        <v>55</v>
      </c>
      <c r="F71" s="177" t="s">
        <v>21</v>
      </c>
      <c r="G71" s="177">
        <v>57561</v>
      </c>
      <c r="H71" s="177"/>
      <c r="I71" s="180">
        <v>44689</v>
      </c>
      <c r="J71" s="177">
        <v>2022</v>
      </c>
      <c r="K71" s="177"/>
      <c r="L71" s="181" t="s">
        <v>23</v>
      </c>
      <c r="M71" s="177"/>
      <c r="N71" s="177" t="s">
        <v>21</v>
      </c>
      <c r="O71"/>
      <c r="P71"/>
      <c r="Q71"/>
      <c r="R71"/>
    </row>
    <row r="72" spans="1:18" x14ac:dyDescent="0.35">
      <c r="A72" s="177" t="s">
        <v>56</v>
      </c>
      <c r="B72" s="177" t="s">
        <v>19</v>
      </c>
      <c r="C72" s="177" t="s">
        <v>1861</v>
      </c>
      <c r="D72" s="177" t="s">
        <v>57</v>
      </c>
      <c r="E72" s="177" t="s">
        <v>58</v>
      </c>
      <c r="F72" s="177" t="s">
        <v>21</v>
      </c>
      <c r="G72" s="177">
        <v>35620</v>
      </c>
      <c r="H72" s="177">
        <v>35375</v>
      </c>
      <c r="I72" s="177" t="s">
        <v>59</v>
      </c>
      <c r="J72" s="177">
        <v>2013</v>
      </c>
      <c r="K72" s="177" t="s">
        <v>60</v>
      </c>
      <c r="L72" s="184" t="s">
        <v>61</v>
      </c>
      <c r="M72" s="177"/>
      <c r="N72" s="177" t="s">
        <v>21</v>
      </c>
      <c r="O72"/>
      <c r="P72"/>
      <c r="Q72"/>
      <c r="R72"/>
    </row>
    <row r="73" spans="1:18" x14ac:dyDescent="0.35">
      <c r="A73" s="177" t="s">
        <v>62</v>
      </c>
      <c r="B73" s="177" t="s">
        <v>19</v>
      </c>
      <c r="C73" s="177" t="s">
        <v>1861</v>
      </c>
      <c r="D73" s="177" t="s">
        <v>63</v>
      </c>
      <c r="E73" s="177" t="s">
        <v>64</v>
      </c>
      <c r="F73" s="177" t="s">
        <v>21</v>
      </c>
      <c r="G73" s="177">
        <v>35013</v>
      </c>
      <c r="H73" s="177">
        <v>34792</v>
      </c>
      <c r="I73" s="177" t="s">
        <v>65</v>
      </c>
      <c r="J73" s="177">
        <v>2012</v>
      </c>
      <c r="K73" s="177" t="s">
        <v>66</v>
      </c>
      <c r="L73" s="178" t="s">
        <v>30</v>
      </c>
      <c r="M73" s="177"/>
      <c r="N73" s="177" t="s">
        <v>21</v>
      </c>
      <c r="O73"/>
      <c r="P73"/>
      <c r="Q73"/>
      <c r="R73"/>
    </row>
    <row r="74" spans="1:18" x14ac:dyDescent="0.35">
      <c r="A74" s="177" t="s">
        <v>460</v>
      </c>
      <c r="B74" s="177" t="s">
        <v>19</v>
      </c>
      <c r="C74" s="177" t="s">
        <v>1861</v>
      </c>
      <c r="D74" s="177" t="s">
        <v>461</v>
      </c>
      <c r="E74" s="177" t="s">
        <v>462</v>
      </c>
      <c r="F74" s="177" t="s">
        <v>21</v>
      </c>
      <c r="G74" s="177">
        <v>39586</v>
      </c>
      <c r="H74" s="177"/>
      <c r="I74" s="177" t="s">
        <v>463</v>
      </c>
      <c r="J74" s="177">
        <v>2016</v>
      </c>
      <c r="K74" s="177"/>
      <c r="L74" s="181" t="s">
        <v>23</v>
      </c>
      <c r="M74" s="177"/>
      <c r="N74" s="177" t="s">
        <v>21</v>
      </c>
      <c r="O74"/>
      <c r="P74"/>
      <c r="Q74"/>
      <c r="R74"/>
    </row>
    <row r="75" spans="1:18" x14ac:dyDescent="0.35">
      <c r="A75" s="177" t="s">
        <v>570</v>
      </c>
      <c r="B75" s="177" t="s">
        <v>19</v>
      </c>
      <c r="C75" s="177" t="s">
        <v>1861</v>
      </c>
      <c r="D75" s="177" t="s">
        <v>571</v>
      </c>
      <c r="E75" s="177" t="s">
        <v>572</v>
      </c>
      <c r="F75" s="177" t="s">
        <v>21</v>
      </c>
      <c r="G75" s="177">
        <v>39131</v>
      </c>
      <c r="H75" s="177"/>
      <c r="I75" s="177" t="s">
        <v>573</v>
      </c>
      <c r="J75" s="177">
        <v>2016</v>
      </c>
      <c r="K75" s="177"/>
      <c r="L75" s="181" t="s">
        <v>23</v>
      </c>
      <c r="M75" s="177"/>
      <c r="N75" s="177" t="s">
        <v>21</v>
      </c>
      <c r="O75"/>
      <c r="P75"/>
      <c r="Q75"/>
      <c r="R75"/>
    </row>
    <row r="76" spans="1:18" x14ac:dyDescent="0.35">
      <c r="A76" s="177" t="s">
        <v>585</v>
      </c>
      <c r="B76" s="177" t="s">
        <v>19</v>
      </c>
      <c r="C76" s="177" t="s">
        <v>1861</v>
      </c>
      <c r="D76" s="177" t="s">
        <v>586</v>
      </c>
      <c r="E76" s="177" t="s">
        <v>587</v>
      </c>
      <c r="F76" s="177" t="s">
        <v>21</v>
      </c>
      <c r="G76" s="177">
        <v>41724</v>
      </c>
      <c r="H76" s="177">
        <v>41724</v>
      </c>
      <c r="I76" s="177" t="s">
        <v>588</v>
      </c>
      <c r="J76" s="177">
        <v>2017</v>
      </c>
      <c r="K76" s="177" t="s">
        <v>589</v>
      </c>
      <c r="L76" s="178" t="s">
        <v>30</v>
      </c>
      <c r="M76" s="177"/>
      <c r="N76" s="177" t="s">
        <v>21</v>
      </c>
      <c r="O76"/>
      <c r="P76"/>
      <c r="Q76"/>
      <c r="R76"/>
    </row>
    <row r="77" spans="1:18" x14ac:dyDescent="0.35">
      <c r="A77" s="177" t="s">
        <v>118</v>
      </c>
      <c r="B77" s="177" t="s">
        <v>19</v>
      </c>
      <c r="C77" s="177" t="s">
        <v>1861</v>
      </c>
      <c r="D77" s="177" t="s">
        <v>119</v>
      </c>
      <c r="E77" s="177" t="s">
        <v>120</v>
      </c>
      <c r="F77" s="177" t="s">
        <v>21</v>
      </c>
      <c r="G77" s="177">
        <v>36555</v>
      </c>
      <c r="H77" s="177"/>
      <c r="I77" s="180">
        <v>41620</v>
      </c>
      <c r="J77" s="177">
        <v>2013</v>
      </c>
      <c r="K77" s="177"/>
      <c r="L77" s="181" t="s">
        <v>23</v>
      </c>
      <c r="M77" s="177"/>
      <c r="N77" s="177" t="s">
        <v>21</v>
      </c>
      <c r="O77"/>
      <c r="P77"/>
      <c r="Q77"/>
      <c r="R77"/>
    </row>
    <row r="78" spans="1:18" x14ac:dyDescent="0.35">
      <c r="A78" s="177" t="s">
        <v>670</v>
      </c>
      <c r="B78" s="177" t="s">
        <v>19</v>
      </c>
      <c r="C78" s="177" t="s">
        <v>1861</v>
      </c>
      <c r="D78" s="177" t="s">
        <v>671</v>
      </c>
      <c r="E78" s="177" t="s">
        <v>672</v>
      </c>
      <c r="F78" s="177" t="s">
        <v>21</v>
      </c>
      <c r="G78" s="177">
        <v>41392</v>
      </c>
      <c r="H78" s="177"/>
      <c r="I78" s="180">
        <v>42805</v>
      </c>
      <c r="J78" s="177">
        <v>2017</v>
      </c>
      <c r="K78" s="177"/>
      <c r="L78" s="181" t="s">
        <v>23</v>
      </c>
      <c r="M78" s="177"/>
      <c r="N78" s="177" t="s">
        <v>21</v>
      </c>
      <c r="O78"/>
      <c r="P78"/>
      <c r="Q78"/>
      <c r="R78"/>
    </row>
    <row r="79" spans="1:18" x14ac:dyDescent="0.35">
      <c r="A79" s="177" t="s">
        <v>726</v>
      </c>
      <c r="B79" s="177" t="s">
        <v>19</v>
      </c>
      <c r="C79" s="177" t="s">
        <v>1861</v>
      </c>
      <c r="D79" s="177" t="s">
        <v>727</v>
      </c>
      <c r="E79" s="177" t="s">
        <v>728</v>
      </c>
      <c r="F79" s="177" t="s">
        <v>21</v>
      </c>
      <c r="G79" s="177">
        <v>37166</v>
      </c>
      <c r="H79" s="177">
        <v>37166</v>
      </c>
      <c r="I79" s="177" t="s">
        <v>729</v>
      </c>
      <c r="J79" s="177">
        <v>2014</v>
      </c>
      <c r="K79" s="177" t="s">
        <v>155</v>
      </c>
      <c r="L79" s="178" t="s">
        <v>30</v>
      </c>
      <c r="M79" s="177"/>
      <c r="N79" s="177" t="s">
        <v>21</v>
      </c>
      <c r="O79"/>
      <c r="P79"/>
      <c r="Q79"/>
      <c r="R79"/>
    </row>
    <row r="80" spans="1:18" x14ac:dyDescent="0.35">
      <c r="A80" s="183" t="s">
        <v>2339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/>
      <c r="P80"/>
      <c r="Q80"/>
      <c r="R80"/>
    </row>
    <row r="81" spans="1:18" x14ac:dyDescent="0.35">
      <c r="A81" s="177" t="s">
        <v>200</v>
      </c>
      <c r="B81" s="177" t="s">
        <v>19</v>
      </c>
      <c r="C81" s="177" t="s">
        <v>1903</v>
      </c>
      <c r="D81" s="177" t="s">
        <v>201</v>
      </c>
      <c r="E81" s="177" t="s">
        <v>202</v>
      </c>
      <c r="F81" s="177" t="s">
        <v>21</v>
      </c>
      <c r="G81" s="177">
        <v>36581</v>
      </c>
      <c r="H81" s="177">
        <v>36581</v>
      </c>
      <c r="I81" s="177" t="s">
        <v>44</v>
      </c>
      <c r="J81" s="177">
        <v>2013</v>
      </c>
      <c r="K81" s="177" t="s">
        <v>203</v>
      </c>
      <c r="L81" s="178" t="s">
        <v>30</v>
      </c>
      <c r="M81" s="177"/>
      <c r="N81" s="177" t="s">
        <v>21</v>
      </c>
      <c r="O81"/>
      <c r="P81"/>
      <c r="Q81"/>
      <c r="R81"/>
    </row>
    <row r="82" spans="1:18" x14ac:dyDescent="0.35">
      <c r="A82" s="177" t="s">
        <v>233</v>
      </c>
      <c r="B82" s="177" t="s">
        <v>19</v>
      </c>
      <c r="C82" s="177" t="s">
        <v>1903</v>
      </c>
      <c r="D82" s="177" t="s">
        <v>234</v>
      </c>
      <c r="E82" s="177" t="s">
        <v>235</v>
      </c>
      <c r="F82" s="177" t="s">
        <v>21</v>
      </c>
      <c r="G82" s="177">
        <v>38401</v>
      </c>
      <c r="H82" s="177">
        <v>38401</v>
      </c>
      <c r="I82" s="180">
        <v>42256</v>
      </c>
      <c r="J82" s="177">
        <v>2015</v>
      </c>
      <c r="K82" s="177" t="s">
        <v>236</v>
      </c>
      <c r="L82" s="178" t="s">
        <v>30</v>
      </c>
      <c r="M82" s="177"/>
      <c r="N82" s="177" t="s">
        <v>21</v>
      </c>
      <c r="O82"/>
      <c r="P82"/>
      <c r="Q82"/>
      <c r="R82"/>
    </row>
    <row r="83" spans="1:18" x14ac:dyDescent="0.35">
      <c r="A83" s="177" t="s">
        <v>581</v>
      </c>
      <c r="B83" s="177" t="s">
        <v>19</v>
      </c>
      <c r="C83" s="177" t="s">
        <v>1903</v>
      </c>
      <c r="D83" s="177" t="s">
        <v>582</v>
      </c>
      <c r="E83" s="177" t="s">
        <v>583</v>
      </c>
      <c r="F83" s="177" t="s">
        <v>21</v>
      </c>
      <c r="G83" s="177">
        <v>37885</v>
      </c>
      <c r="H83" s="177">
        <v>37885</v>
      </c>
      <c r="I83" s="180">
        <v>42038</v>
      </c>
      <c r="J83" s="177">
        <v>2015</v>
      </c>
      <c r="K83" s="177" t="s">
        <v>584</v>
      </c>
      <c r="L83" s="178" t="s">
        <v>30</v>
      </c>
      <c r="M83" s="177"/>
      <c r="N83" s="177" t="s">
        <v>21</v>
      </c>
      <c r="O83"/>
      <c r="P83"/>
      <c r="Q83"/>
      <c r="R83"/>
    </row>
    <row r="84" spans="1:18" x14ac:dyDescent="0.35">
      <c r="A84" s="177" t="s">
        <v>590</v>
      </c>
      <c r="B84" s="177" t="s">
        <v>19</v>
      </c>
      <c r="C84" s="177" t="s">
        <v>1903</v>
      </c>
      <c r="D84" s="177" t="s">
        <v>591</v>
      </c>
      <c r="E84" s="177" t="s">
        <v>592</v>
      </c>
      <c r="F84" s="177" t="s">
        <v>21</v>
      </c>
      <c r="G84" s="177">
        <v>39316</v>
      </c>
      <c r="H84" s="177">
        <v>39316</v>
      </c>
      <c r="I84" s="177" t="s">
        <v>593</v>
      </c>
      <c r="J84" s="177">
        <v>2016</v>
      </c>
      <c r="K84" s="177" t="s">
        <v>232</v>
      </c>
      <c r="L84" s="178" t="s">
        <v>30</v>
      </c>
      <c r="M84" s="177"/>
      <c r="N84" s="177" t="s">
        <v>21</v>
      </c>
      <c r="O84"/>
      <c r="P84"/>
      <c r="Q84"/>
      <c r="R84"/>
    </row>
    <row r="85" spans="1:18" x14ac:dyDescent="0.35">
      <c r="A85" s="177" t="s">
        <v>607</v>
      </c>
      <c r="B85" s="177" t="s">
        <v>19</v>
      </c>
      <c r="C85" s="177" t="s">
        <v>1903</v>
      </c>
      <c r="D85" s="177" t="s">
        <v>608</v>
      </c>
      <c r="E85" s="177" t="s">
        <v>609</v>
      </c>
      <c r="F85" s="177" t="s">
        <v>21</v>
      </c>
      <c r="G85" s="177">
        <v>36814</v>
      </c>
      <c r="H85" s="177">
        <v>36814</v>
      </c>
      <c r="I85" s="180">
        <v>41915</v>
      </c>
      <c r="J85" s="177">
        <v>2014</v>
      </c>
      <c r="K85" s="177" t="s">
        <v>610</v>
      </c>
      <c r="L85" s="178" t="s">
        <v>30</v>
      </c>
      <c r="M85" s="177"/>
      <c r="N85" s="177" t="s">
        <v>21</v>
      </c>
      <c r="O85"/>
      <c r="P85"/>
      <c r="Q85"/>
      <c r="R85"/>
    </row>
    <row r="86" spans="1:18" x14ac:dyDescent="0.35">
      <c r="A86" s="177" t="s">
        <v>648</v>
      </c>
      <c r="B86" s="177" t="s">
        <v>19</v>
      </c>
      <c r="C86" s="177" t="s">
        <v>1903</v>
      </c>
      <c r="D86" s="177" t="s">
        <v>649</v>
      </c>
      <c r="E86" s="177" t="s">
        <v>650</v>
      </c>
      <c r="F86" s="177" t="s">
        <v>21</v>
      </c>
      <c r="G86" s="177">
        <v>38728</v>
      </c>
      <c r="H86" s="177">
        <v>38728</v>
      </c>
      <c r="I86" s="177" t="s">
        <v>199</v>
      </c>
      <c r="J86" s="177">
        <v>2015</v>
      </c>
      <c r="K86" s="177" t="s">
        <v>651</v>
      </c>
      <c r="L86" s="178" t="s">
        <v>30</v>
      </c>
      <c r="M86" s="177"/>
      <c r="N86" s="177" t="s">
        <v>21</v>
      </c>
      <c r="O86"/>
      <c r="P86"/>
      <c r="Q86"/>
      <c r="R86"/>
    </row>
    <row r="87" spans="1:18" x14ac:dyDescent="0.35">
      <c r="A87" s="177" t="s">
        <v>702</v>
      </c>
      <c r="B87" s="177" t="s">
        <v>19</v>
      </c>
      <c r="C87" s="177" t="s">
        <v>1903</v>
      </c>
      <c r="D87" s="177" t="s">
        <v>703</v>
      </c>
      <c r="E87" s="177" t="s">
        <v>704</v>
      </c>
      <c r="F87" s="177" t="s">
        <v>21</v>
      </c>
      <c r="G87" s="177">
        <v>57562</v>
      </c>
      <c r="H87" s="177"/>
      <c r="I87" s="180">
        <v>44689</v>
      </c>
      <c r="J87" s="177">
        <v>2022</v>
      </c>
      <c r="K87" s="177"/>
      <c r="L87" s="181" t="s">
        <v>23</v>
      </c>
      <c r="M87" s="177"/>
      <c r="N87" s="177" t="s">
        <v>21</v>
      </c>
      <c r="O87"/>
      <c r="P87"/>
      <c r="Q87"/>
      <c r="R87"/>
    </row>
    <row r="88" spans="1:18" x14ac:dyDescent="0.35">
      <c r="A88" s="177" t="s">
        <v>810</v>
      </c>
      <c r="B88" s="177" t="s">
        <v>19</v>
      </c>
      <c r="C88" s="177" t="s">
        <v>1903</v>
      </c>
      <c r="D88" s="177" t="s">
        <v>811</v>
      </c>
      <c r="E88" s="177" t="s">
        <v>812</v>
      </c>
      <c r="F88" s="177" t="s">
        <v>21</v>
      </c>
      <c r="G88" s="177">
        <v>38952</v>
      </c>
      <c r="H88" s="177"/>
      <c r="I88" s="180">
        <v>42525</v>
      </c>
      <c r="J88" s="177">
        <v>2016</v>
      </c>
      <c r="K88" s="177"/>
      <c r="L88" s="181" t="s">
        <v>23</v>
      </c>
      <c r="M88" s="177"/>
      <c r="N88" s="177"/>
      <c r="O88"/>
      <c r="P88"/>
      <c r="Q88"/>
      <c r="R88"/>
    </row>
    <row r="89" spans="1:18" x14ac:dyDescent="0.35">
      <c r="A89" s="177" t="s">
        <v>827</v>
      </c>
      <c r="B89" s="177" t="s">
        <v>19</v>
      </c>
      <c r="C89" s="177" t="s">
        <v>1903</v>
      </c>
      <c r="D89" s="177" t="s">
        <v>828</v>
      </c>
      <c r="E89" s="177" t="s">
        <v>829</v>
      </c>
      <c r="F89" s="177" t="s">
        <v>21</v>
      </c>
      <c r="G89" s="177">
        <v>47008</v>
      </c>
      <c r="H89" s="177"/>
      <c r="I89" s="177" t="s">
        <v>830</v>
      </c>
      <c r="J89" s="177">
        <v>2019</v>
      </c>
      <c r="K89" s="177" t="s">
        <v>29</v>
      </c>
      <c r="L89" s="178" t="s">
        <v>30</v>
      </c>
      <c r="M89" s="177"/>
      <c r="N89" s="177" t="s">
        <v>21</v>
      </c>
      <c r="O89"/>
      <c r="P89"/>
      <c r="Q89"/>
      <c r="R89"/>
    </row>
    <row r="90" spans="1:18" x14ac:dyDescent="0.35">
      <c r="A90" s="183" t="s">
        <v>2340</v>
      </c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/>
      <c r="P90"/>
      <c r="Q90"/>
      <c r="R90"/>
    </row>
    <row r="91" spans="1:18" x14ac:dyDescent="0.35">
      <c r="A91" s="177" t="s">
        <v>18</v>
      </c>
      <c r="B91" s="177" t="s">
        <v>19</v>
      </c>
      <c r="C91" s="177" t="s">
        <v>1975</v>
      </c>
      <c r="D91" s="177" t="s">
        <v>20</v>
      </c>
      <c r="E91" s="177"/>
      <c r="F91" s="177" t="s">
        <v>21</v>
      </c>
      <c r="G91" s="177">
        <v>44371</v>
      </c>
      <c r="H91" s="177"/>
      <c r="I91" s="177" t="s">
        <v>22</v>
      </c>
      <c r="J91" s="177">
        <v>2018</v>
      </c>
      <c r="K91" s="177"/>
      <c r="L91" s="181" t="s">
        <v>23</v>
      </c>
      <c r="M91" s="177"/>
      <c r="N91" s="177"/>
      <c r="O91"/>
      <c r="P91"/>
      <c r="Q91"/>
      <c r="R91"/>
    </row>
    <row r="92" spans="1:18" x14ac:dyDescent="0.35">
      <c r="A92" s="177" t="s">
        <v>25</v>
      </c>
      <c r="B92" s="177" t="s">
        <v>19</v>
      </c>
      <c r="C92" s="177" t="s">
        <v>1975</v>
      </c>
      <c r="D92" s="177" t="s">
        <v>26</v>
      </c>
      <c r="E92" s="177" t="s">
        <v>27</v>
      </c>
      <c r="F92" s="177" t="s">
        <v>21</v>
      </c>
      <c r="G92" s="177">
        <v>46989</v>
      </c>
      <c r="H92" s="177"/>
      <c r="I92" s="177" t="s">
        <v>28</v>
      </c>
      <c r="J92" s="177">
        <v>2019</v>
      </c>
      <c r="K92" s="177" t="s">
        <v>29</v>
      </c>
      <c r="L92" s="178" t="s">
        <v>30</v>
      </c>
      <c r="M92" s="177"/>
      <c r="N92" s="177" t="s">
        <v>31</v>
      </c>
      <c r="O92"/>
      <c r="P92"/>
      <c r="Q92"/>
      <c r="R92"/>
    </row>
    <row r="93" spans="1:18" x14ac:dyDescent="0.35">
      <c r="A93" s="177" t="s">
        <v>160</v>
      </c>
      <c r="B93" s="177" t="s">
        <v>19</v>
      </c>
      <c r="C93" s="177" t="s">
        <v>1975</v>
      </c>
      <c r="D93" s="177" t="s">
        <v>161</v>
      </c>
      <c r="E93" s="177" t="s">
        <v>162</v>
      </c>
      <c r="F93" s="177" t="s">
        <v>21</v>
      </c>
      <c r="G93" s="177">
        <v>34305</v>
      </c>
      <c r="H93" s="177">
        <v>34265</v>
      </c>
      <c r="I93" s="177" t="s">
        <v>163</v>
      </c>
      <c r="J93" s="177">
        <v>2011</v>
      </c>
      <c r="K93" s="177" t="s">
        <v>164</v>
      </c>
      <c r="L93" s="178" t="s">
        <v>30</v>
      </c>
      <c r="M93" s="177"/>
      <c r="N93" s="177" t="s">
        <v>21</v>
      </c>
      <c r="O93"/>
      <c r="P93"/>
      <c r="Q93"/>
      <c r="R93"/>
    </row>
    <row r="94" spans="1:18" x14ac:dyDescent="0.35">
      <c r="A94" s="177" t="s">
        <v>452</v>
      </c>
      <c r="B94" s="177" t="s">
        <v>19</v>
      </c>
      <c r="C94" s="177" t="s">
        <v>1975</v>
      </c>
      <c r="D94" s="177" t="s">
        <v>453</v>
      </c>
      <c r="E94" s="177" t="s">
        <v>454</v>
      </c>
      <c r="F94" s="177" t="s">
        <v>21</v>
      </c>
      <c r="G94" s="177">
        <v>34303</v>
      </c>
      <c r="H94" s="177">
        <v>34203</v>
      </c>
      <c r="I94" s="177" t="s">
        <v>163</v>
      </c>
      <c r="J94" s="177">
        <v>2011</v>
      </c>
      <c r="K94" s="177" t="s">
        <v>164</v>
      </c>
      <c r="L94" s="178" t="s">
        <v>30</v>
      </c>
      <c r="M94" s="177"/>
      <c r="N94" s="177" t="s">
        <v>21</v>
      </c>
      <c r="O94"/>
      <c r="P94"/>
      <c r="Q94"/>
      <c r="R94"/>
    </row>
    <row r="95" spans="1:18" x14ac:dyDescent="0.35">
      <c r="A95" s="177" t="s">
        <v>165</v>
      </c>
      <c r="B95" s="177" t="s">
        <v>19</v>
      </c>
      <c r="C95" s="177" t="s">
        <v>1975</v>
      </c>
      <c r="D95" s="177" t="s">
        <v>166</v>
      </c>
      <c r="E95" s="177" t="s">
        <v>167</v>
      </c>
      <c r="F95" s="177" t="s">
        <v>21</v>
      </c>
      <c r="G95" s="177">
        <v>34306</v>
      </c>
      <c r="H95" s="177">
        <v>34266</v>
      </c>
      <c r="I95" s="177" t="s">
        <v>163</v>
      </c>
      <c r="J95" s="177">
        <v>2011</v>
      </c>
      <c r="K95" s="177" t="s">
        <v>164</v>
      </c>
      <c r="L95" s="178" t="s">
        <v>30</v>
      </c>
      <c r="M95" s="177"/>
      <c r="N95" s="177" t="s">
        <v>21</v>
      </c>
      <c r="O95"/>
      <c r="P95"/>
      <c r="Q95"/>
      <c r="R95"/>
    </row>
    <row r="96" spans="1:18" x14ac:dyDescent="0.35">
      <c r="A96" s="177" t="s">
        <v>515</v>
      </c>
      <c r="B96" s="177" t="s">
        <v>19</v>
      </c>
      <c r="C96" s="177" t="s">
        <v>1975</v>
      </c>
      <c r="D96" s="177" t="s">
        <v>516</v>
      </c>
      <c r="E96" s="177" t="s">
        <v>517</v>
      </c>
      <c r="F96" s="177" t="s">
        <v>21</v>
      </c>
      <c r="G96" s="177">
        <v>41743</v>
      </c>
      <c r="H96" s="177"/>
      <c r="I96" s="177" t="s">
        <v>219</v>
      </c>
      <c r="J96" s="177">
        <v>2017</v>
      </c>
      <c r="K96" s="177"/>
      <c r="L96" s="181" t="s">
        <v>23</v>
      </c>
      <c r="M96" s="177"/>
      <c r="N96" s="177" t="s">
        <v>21</v>
      </c>
      <c r="O96"/>
      <c r="P96"/>
      <c r="Q96"/>
      <c r="R96"/>
    </row>
    <row r="97" spans="1:18" x14ac:dyDescent="0.35">
      <c r="A97" s="177" t="s">
        <v>705</v>
      </c>
      <c r="B97" s="177" t="s">
        <v>19</v>
      </c>
      <c r="C97" s="177" t="s">
        <v>1975</v>
      </c>
      <c r="D97" s="177" t="s">
        <v>706</v>
      </c>
      <c r="E97" s="177" t="s">
        <v>707</v>
      </c>
      <c r="F97" s="177" t="s">
        <v>21</v>
      </c>
      <c r="G97" s="177">
        <v>38674</v>
      </c>
      <c r="H97" s="177">
        <v>38674</v>
      </c>
      <c r="I97" s="180">
        <v>42320</v>
      </c>
      <c r="J97" s="177">
        <v>2015</v>
      </c>
      <c r="K97" s="177" t="s">
        <v>584</v>
      </c>
      <c r="L97" s="178" t="s">
        <v>30</v>
      </c>
      <c r="M97" s="177"/>
      <c r="N97" s="177" t="s">
        <v>21</v>
      </c>
      <c r="O97"/>
      <c r="P97"/>
      <c r="Q97"/>
      <c r="R97"/>
    </row>
    <row r="98" spans="1:18" x14ac:dyDescent="0.35">
      <c r="A98" s="177" t="s">
        <v>708</v>
      </c>
      <c r="B98" s="177" t="s">
        <v>19</v>
      </c>
      <c r="C98" s="177" t="s">
        <v>1975</v>
      </c>
      <c r="D98" s="177" t="s">
        <v>709</v>
      </c>
      <c r="E98" s="177" t="s">
        <v>710</v>
      </c>
      <c r="F98" s="177" t="s">
        <v>21</v>
      </c>
      <c r="G98" s="177">
        <v>41733</v>
      </c>
      <c r="H98" s="177"/>
      <c r="I98" s="177" t="s">
        <v>711</v>
      </c>
      <c r="J98" s="177">
        <v>2017</v>
      </c>
      <c r="K98" s="177"/>
      <c r="L98" s="181" t="s">
        <v>23</v>
      </c>
      <c r="M98" s="177"/>
      <c r="N98" s="177" t="s">
        <v>712</v>
      </c>
      <c r="O98"/>
      <c r="P98"/>
      <c r="Q98"/>
      <c r="R98"/>
    </row>
    <row r="99" spans="1:18" x14ac:dyDescent="0.35">
      <c r="A99" s="183" t="s">
        <v>2341</v>
      </c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/>
      <c r="P99"/>
      <c r="Q99"/>
      <c r="R99"/>
    </row>
    <row r="100" spans="1:18" x14ac:dyDescent="0.35">
      <c r="A100" s="177" t="s">
        <v>71</v>
      </c>
      <c r="B100" s="177" t="s">
        <v>19</v>
      </c>
      <c r="C100" s="177" t="s">
        <v>1827</v>
      </c>
      <c r="D100" s="177" t="s">
        <v>72</v>
      </c>
      <c r="E100" s="177" t="s">
        <v>73</v>
      </c>
      <c r="F100" s="177" t="s">
        <v>21</v>
      </c>
      <c r="G100" s="177">
        <v>37977</v>
      </c>
      <c r="H100" s="177"/>
      <c r="I100" s="180">
        <v>42067</v>
      </c>
      <c r="J100" s="177">
        <v>2015</v>
      </c>
      <c r="K100" s="177"/>
      <c r="L100" s="181" t="s">
        <v>23</v>
      </c>
      <c r="M100" s="177"/>
      <c r="N100" s="177" t="s">
        <v>21</v>
      </c>
      <c r="O100"/>
      <c r="P100"/>
      <c r="Q100"/>
      <c r="R100"/>
    </row>
    <row r="101" spans="1:18" x14ac:dyDescent="0.35">
      <c r="A101" s="177" t="s">
        <v>683</v>
      </c>
      <c r="B101" s="177" t="s">
        <v>19</v>
      </c>
      <c r="C101" s="177" t="s">
        <v>1827</v>
      </c>
      <c r="D101" s="177" t="s">
        <v>684</v>
      </c>
      <c r="E101" s="177" t="s">
        <v>685</v>
      </c>
      <c r="F101" s="177" t="s">
        <v>21</v>
      </c>
      <c r="G101" s="177">
        <v>55251</v>
      </c>
      <c r="H101" s="177"/>
      <c r="I101" s="177" t="s">
        <v>211</v>
      </c>
      <c r="J101" s="177">
        <v>2021</v>
      </c>
      <c r="K101" s="177" t="s">
        <v>85</v>
      </c>
      <c r="L101" s="178" t="s">
        <v>30</v>
      </c>
      <c r="M101" s="177"/>
      <c r="N101" s="177" t="s">
        <v>21</v>
      </c>
      <c r="O101"/>
      <c r="P101"/>
      <c r="Q101"/>
      <c r="R101"/>
    </row>
    <row r="102" spans="1:18" x14ac:dyDescent="0.35">
      <c r="A102" s="177" t="s">
        <v>129</v>
      </c>
      <c r="B102" s="177" t="s">
        <v>19</v>
      </c>
      <c r="C102" s="177" t="s">
        <v>1827</v>
      </c>
      <c r="D102" s="177" t="s">
        <v>130</v>
      </c>
      <c r="E102" s="177" t="s">
        <v>131</v>
      </c>
      <c r="F102" s="177" t="s">
        <v>21</v>
      </c>
      <c r="G102" s="177">
        <v>51964</v>
      </c>
      <c r="H102" s="177"/>
      <c r="I102" s="177" t="s">
        <v>132</v>
      </c>
      <c r="J102" s="177">
        <v>2020</v>
      </c>
      <c r="K102" s="177" t="s">
        <v>133</v>
      </c>
      <c r="L102" s="178" t="s">
        <v>30</v>
      </c>
      <c r="M102" s="177"/>
      <c r="N102" s="177" t="s">
        <v>21</v>
      </c>
      <c r="O102"/>
      <c r="P102"/>
      <c r="Q102"/>
      <c r="R102"/>
    </row>
    <row r="103" spans="1:18" x14ac:dyDescent="0.35">
      <c r="A103" s="183" t="s">
        <v>2342</v>
      </c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/>
      <c r="P103"/>
      <c r="Q103"/>
      <c r="R103"/>
    </row>
    <row r="104" spans="1:18" x14ac:dyDescent="0.35">
      <c r="A104" s="177" t="s">
        <v>156</v>
      </c>
      <c r="B104" s="177" t="s">
        <v>19</v>
      </c>
      <c r="C104" s="177" t="s">
        <v>1990</v>
      </c>
      <c r="D104" s="177" t="s">
        <v>157</v>
      </c>
      <c r="E104" s="177" t="s">
        <v>158</v>
      </c>
      <c r="F104" s="177" t="s">
        <v>21</v>
      </c>
      <c r="G104" s="177">
        <v>51962</v>
      </c>
      <c r="H104" s="177"/>
      <c r="I104" s="177" t="s">
        <v>159</v>
      </c>
      <c r="J104" s="177">
        <v>2020</v>
      </c>
      <c r="K104" s="177" t="s">
        <v>150</v>
      </c>
      <c r="L104" s="178" t="s">
        <v>30</v>
      </c>
      <c r="M104" s="177"/>
      <c r="N104" s="177" t="s">
        <v>21</v>
      </c>
      <c r="O104"/>
      <c r="P104"/>
      <c r="Q104"/>
      <c r="R104"/>
    </row>
    <row r="105" spans="1:18" x14ac:dyDescent="0.35">
      <c r="A105" s="177" t="s">
        <v>478</v>
      </c>
      <c r="B105" s="177" t="s">
        <v>19</v>
      </c>
      <c r="C105" s="177" t="s">
        <v>1990</v>
      </c>
      <c r="D105" s="177" t="s">
        <v>479</v>
      </c>
      <c r="E105" s="177" t="s">
        <v>480</v>
      </c>
      <c r="F105" s="177" t="s">
        <v>21</v>
      </c>
      <c r="G105" s="177">
        <v>47807</v>
      </c>
      <c r="H105" s="177"/>
      <c r="I105" s="177" t="s">
        <v>481</v>
      </c>
      <c r="J105" s="177">
        <v>2019</v>
      </c>
      <c r="K105" s="177" t="s">
        <v>403</v>
      </c>
      <c r="L105" s="178" t="s">
        <v>30</v>
      </c>
      <c r="M105" s="177"/>
      <c r="N105" s="177" t="s">
        <v>21</v>
      </c>
      <c r="O105"/>
      <c r="P105"/>
      <c r="Q105"/>
      <c r="R105"/>
    </row>
    <row r="106" spans="1:18" x14ac:dyDescent="0.35">
      <c r="A106" s="177" t="s">
        <v>312</v>
      </c>
      <c r="B106" s="177" t="s">
        <v>19</v>
      </c>
      <c r="C106" s="177" t="s">
        <v>1990</v>
      </c>
      <c r="D106" s="177" t="s">
        <v>313</v>
      </c>
      <c r="E106" s="177" t="s">
        <v>314</v>
      </c>
      <c r="F106" s="177" t="s">
        <v>21</v>
      </c>
      <c r="G106" s="177">
        <v>56599</v>
      </c>
      <c r="H106" s="177"/>
      <c r="I106" s="177" t="s">
        <v>315</v>
      </c>
      <c r="J106" s="177">
        <v>2022</v>
      </c>
      <c r="K106" s="177"/>
      <c r="L106" s="181" t="s">
        <v>23</v>
      </c>
      <c r="M106" s="177"/>
      <c r="N106" s="177" t="s">
        <v>21</v>
      </c>
      <c r="O106"/>
      <c r="P106"/>
      <c r="Q106"/>
      <c r="R106"/>
    </row>
    <row r="107" spans="1:18" x14ac:dyDescent="0.35">
      <c r="A107" s="183" t="s">
        <v>1757</v>
      </c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/>
      <c r="P107"/>
      <c r="Q107"/>
      <c r="R107"/>
    </row>
    <row r="108" spans="1:18" x14ac:dyDescent="0.35">
      <c r="A108" s="183" t="s">
        <v>2343</v>
      </c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/>
      <c r="P108"/>
      <c r="Q108"/>
      <c r="R108"/>
    </row>
    <row r="109" spans="1:18" x14ac:dyDescent="0.35">
      <c r="A109" s="177" t="s">
        <v>1040</v>
      </c>
      <c r="B109" s="177" t="s">
        <v>831</v>
      </c>
      <c r="C109" s="177" t="s">
        <v>1995</v>
      </c>
      <c r="D109" s="177" t="s">
        <v>1041</v>
      </c>
      <c r="E109" s="177" t="s">
        <v>1042</v>
      </c>
      <c r="F109" s="177" t="s">
        <v>21</v>
      </c>
      <c r="G109" s="177" t="s">
        <v>1043</v>
      </c>
      <c r="H109" s="177"/>
      <c r="I109" s="180">
        <v>42860</v>
      </c>
      <c r="J109" s="177">
        <v>2017</v>
      </c>
      <c r="K109" s="177"/>
      <c r="L109" s="184" t="s">
        <v>273</v>
      </c>
      <c r="M109" s="177"/>
      <c r="N109" s="177"/>
      <c r="O109"/>
      <c r="P109"/>
      <c r="Q109"/>
      <c r="R109"/>
    </row>
    <row r="110" spans="1:18" x14ac:dyDescent="0.35">
      <c r="A110" s="177" t="s">
        <v>1044</v>
      </c>
      <c r="B110" s="177" t="s">
        <v>831</v>
      </c>
      <c r="C110" s="177" t="s">
        <v>1995</v>
      </c>
      <c r="D110" s="177" t="s">
        <v>1045</v>
      </c>
      <c r="E110" s="177" t="s">
        <v>202</v>
      </c>
      <c r="F110" s="177" t="s">
        <v>21</v>
      </c>
      <c r="G110" s="177">
        <v>35675</v>
      </c>
      <c r="H110" s="177" t="s">
        <v>1046</v>
      </c>
      <c r="I110" s="177" t="s">
        <v>1047</v>
      </c>
      <c r="J110" s="177">
        <v>2013</v>
      </c>
      <c r="K110" s="177">
        <v>11</v>
      </c>
      <c r="L110" s="188" t="s">
        <v>1048</v>
      </c>
      <c r="M110" s="177"/>
      <c r="N110" s="177" t="s">
        <v>21</v>
      </c>
      <c r="O110"/>
      <c r="P110"/>
      <c r="Q110"/>
      <c r="R110"/>
    </row>
    <row r="111" spans="1:18" x14ac:dyDescent="0.35">
      <c r="A111" s="177" t="s">
        <v>1049</v>
      </c>
      <c r="B111" s="177" t="s">
        <v>831</v>
      </c>
      <c r="C111" s="177" t="s">
        <v>1995</v>
      </c>
      <c r="D111" s="177" t="s">
        <v>1050</v>
      </c>
      <c r="E111" s="177" t="s">
        <v>1051</v>
      </c>
      <c r="F111" s="177" t="s">
        <v>21</v>
      </c>
      <c r="G111" s="177">
        <v>35758</v>
      </c>
      <c r="H111" s="177" t="s">
        <v>1052</v>
      </c>
      <c r="I111" s="177" t="s">
        <v>1053</v>
      </c>
      <c r="J111" s="177">
        <v>2013</v>
      </c>
      <c r="K111" s="177">
        <v>11</v>
      </c>
      <c r="L111" s="188" t="s">
        <v>1048</v>
      </c>
      <c r="M111" s="177"/>
      <c r="N111" s="177" t="s">
        <v>21</v>
      </c>
      <c r="O111"/>
      <c r="P111"/>
      <c r="Q111"/>
      <c r="R111"/>
    </row>
    <row r="112" spans="1:18" x14ac:dyDescent="0.35">
      <c r="A112" s="177" t="s">
        <v>1054</v>
      </c>
      <c r="B112" s="177" t="s">
        <v>831</v>
      </c>
      <c r="C112" s="177" t="s">
        <v>1995</v>
      </c>
      <c r="D112" s="177" t="s">
        <v>1055</v>
      </c>
      <c r="E112" s="177" t="s">
        <v>1056</v>
      </c>
      <c r="F112" s="177" t="s">
        <v>21</v>
      </c>
      <c r="G112" s="177">
        <v>38720</v>
      </c>
      <c r="H112" s="177">
        <v>38720</v>
      </c>
      <c r="I112" s="177" t="s">
        <v>1057</v>
      </c>
      <c r="J112" s="177">
        <v>2015</v>
      </c>
      <c r="K112" s="177" t="s">
        <v>651</v>
      </c>
      <c r="L112" s="178" t="s">
        <v>30</v>
      </c>
      <c r="M112" s="177"/>
      <c r="N112" s="177" t="s">
        <v>21</v>
      </c>
      <c r="O112"/>
      <c r="P112"/>
      <c r="Q112"/>
      <c r="R112"/>
    </row>
    <row r="113" spans="1:18" x14ac:dyDescent="0.35">
      <c r="A113" s="177" t="s">
        <v>1058</v>
      </c>
      <c r="B113" s="177" t="s">
        <v>831</v>
      </c>
      <c r="C113" s="177" t="s">
        <v>1995</v>
      </c>
      <c r="D113" s="177" t="s">
        <v>1059</v>
      </c>
      <c r="E113" s="177" t="s">
        <v>1060</v>
      </c>
      <c r="F113" s="177" t="s">
        <v>21</v>
      </c>
      <c r="G113" s="177">
        <v>33982</v>
      </c>
      <c r="H113" s="177">
        <v>34111</v>
      </c>
      <c r="I113" s="177" t="s">
        <v>1061</v>
      </c>
      <c r="J113" s="177">
        <v>2011</v>
      </c>
      <c r="K113" s="177" t="s">
        <v>1062</v>
      </c>
      <c r="L113" s="178" t="s">
        <v>30</v>
      </c>
      <c r="M113" s="177"/>
      <c r="N113" s="177" t="s">
        <v>21</v>
      </c>
      <c r="O113"/>
      <c r="P113"/>
      <c r="Q113"/>
      <c r="R113"/>
    </row>
    <row r="114" spans="1:18" x14ac:dyDescent="0.35">
      <c r="A114" s="177" t="s">
        <v>1063</v>
      </c>
      <c r="B114" s="177" t="s">
        <v>831</v>
      </c>
      <c r="C114" s="177" t="s">
        <v>1995</v>
      </c>
      <c r="D114" s="177" t="s">
        <v>1064</v>
      </c>
      <c r="E114" s="177" t="s">
        <v>1065</v>
      </c>
      <c r="F114" s="177" t="s">
        <v>21</v>
      </c>
      <c r="G114" s="177">
        <v>46675</v>
      </c>
      <c r="H114" s="177"/>
      <c r="I114" s="180">
        <v>43685</v>
      </c>
      <c r="J114" s="177">
        <v>2019</v>
      </c>
      <c r="K114" s="177" t="s">
        <v>29</v>
      </c>
      <c r="L114" s="178" t="s">
        <v>30</v>
      </c>
      <c r="M114" s="177"/>
      <c r="N114" s="177" t="s">
        <v>21</v>
      </c>
      <c r="O114"/>
      <c r="P114"/>
      <c r="Q114"/>
      <c r="R114"/>
    </row>
    <row r="115" spans="1:18" x14ac:dyDescent="0.35">
      <c r="A115" s="177" t="s">
        <v>1066</v>
      </c>
      <c r="B115" s="177" t="s">
        <v>831</v>
      </c>
      <c r="C115" s="177" t="s">
        <v>1995</v>
      </c>
      <c r="D115" s="177" t="s">
        <v>1067</v>
      </c>
      <c r="E115" s="177" t="s">
        <v>1068</v>
      </c>
      <c r="F115" s="177" t="s">
        <v>21</v>
      </c>
      <c r="G115" s="177">
        <v>38450</v>
      </c>
      <c r="H115" s="177">
        <v>38450</v>
      </c>
      <c r="I115" s="177" t="s">
        <v>228</v>
      </c>
      <c r="J115" s="177">
        <v>2015</v>
      </c>
      <c r="K115" s="177" t="s">
        <v>236</v>
      </c>
      <c r="L115" s="178" t="s">
        <v>30</v>
      </c>
      <c r="M115" s="177"/>
      <c r="N115" s="177" t="s">
        <v>21</v>
      </c>
      <c r="O115"/>
      <c r="P115"/>
      <c r="Q115"/>
      <c r="R115"/>
    </row>
    <row r="116" spans="1:18" x14ac:dyDescent="0.35">
      <c r="A116" s="177" t="s">
        <v>1076</v>
      </c>
      <c r="B116" s="177" t="s">
        <v>831</v>
      </c>
      <c r="C116" s="177" t="s">
        <v>1995</v>
      </c>
      <c r="D116" s="177" t="s">
        <v>1077</v>
      </c>
      <c r="E116" s="177" t="s">
        <v>202</v>
      </c>
      <c r="F116" s="177" t="s">
        <v>21</v>
      </c>
      <c r="G116" s="177">
        <v>37276</v>
      </c>
      <c r="H116" s="177">
        <v>37276</v>
      </c>
      <c r="I116" s="180">
        <v>41859</v>
      </c>
      <c r="J116" s="177">
        <v>2014</v>
      </c>
      <c r="K116" s="177" t="s">
        <v>155</v>
      </c>
      <c r="L116" s="178" t="s">
        <v>30</v>
      </c>
      <c r="M116" s="177"/>
      <c r="N116" s="177" t="s">
        <v>21</v>
      </c>
      <c r="O116"/>
      <c r="P116"/>
      <c r="Q116"/>
      <c r="R116"/>
    </row>
    <row r="117" spans="1:18" x14ac:dyDescent="0.35">
      <c r="A117" s="177" t="s">
        <v>1078</v>
      </c>
      <c r="B117" s="177" t="s">
        <v>831</v>
      </c>
      <c r="C117" s="177" t="s">
        <v>1995</v>
      </c>
      <c r="D117" s="177" t="s">
        <v>1079</v>
      </c>
      <c r="E117" s="177" t="s">
        <v>1080</v>
      </c>
      <c r="F117" s="177" t="s">
        <v>21</v>
      </c>
      <c r="G117" s="177">
        <v>35010</v>
      </c>
      <c r="H117" s="177">
        <v>34789</v>
      </c>
      <c r="I117" s="177" t="s">
        <v>65</v>
      </c>
      <c r="J117" s="177">
        <v>2012</v>
      </c>
      <c r="K117" s="177" t="s">
        <v>60</v>
      </c>
      <c r="L117" s="184" t="s">
        <v>61</v>
      </c>
      <c r="M117" s="177"/>
      <c r="N117" s="177" t="s">
        <v>21</v>
      </c>
      <c r="O117"/>
      <c r="P117"/>
      <c r="Q117"/>
      <c r="R117"/>
    </row>
    <row r="118" spans="1:18" x14ac:dyDescent="0.35">
      <c r="A118" s="177" t="s">
        <v>1081</v>
      </c>
      <c r="B118" s="177" t="s">
        <v>831</v>
      </c>
      <c r="C118" s="177" t="s">
        <v>1995</v>
      </c>
      <c r="D118" s="177" t="s">
        <v>1082</v>
      </c>
      <c r="E118" s="177" t="s">
        <v>1083</v>
      </c>
      <c r="F118" s="177" t="s">
        <v>21</v>
      </c>
      <c r="G118" s="177">
        <v>37327</v>
      </c>
      <c r="H118" s="177"/>
      <c r="I118" s="180">
        <v>41738</v>
      </c>
      <c r="J118" s="177">
        <v>2014</v>
      </c>
      <c r="K118" s="177"/>
      <c r="L118" s="181" t="s">
        <v>23</v>
      </c>
      <c r="M118" s="177"/>
      <c r="N118" s="177"/>
      <c r="O118"/>
      <c r="P118"/>
      <c r="Q118"/>
      <c r="R118"/>
    </row>
    <row r="119" spans="1:18" x14ac:dyDescent="0.35">
      <c r="A119" s="177" t="s">
        <v>1084</v>
      </c>
      <c r="B119" s="177" t="s">
        <v>831</v>
      </c>
      <c r="C119" s="177" t="s">
        <v>1995</v>
      </c>
      <c r="D119" s="177" t="s">
        <v>1085</v>
      </c>
      <c r="E119" s="177" t="s">
        <v>1086</v>
      </c>
      <c r="F119" s="177" t="s">
        <v>21</v>
      </c>
      <c r="G119" s="177">
        <v>36632</v>
      </c>
      <c r="H119" s="177">
        <v>36632</v>
      </c>
      <c r="I119" s="177" t="s">
        <v>1087</v>
      </c>
      <c r="J119" s="177">
        <v>2013</v>
      </c>
      <c r="K119" s="177" t="s">
        <v>203</v>
      </c>
      <c r="L119" s="178" t="s">
        <v>30</v>
      </c>
      <c r="M119" s="177"/>
      <c r="N119" s="177" t="s">
        <v>21</v>
      </c>
      <c r="O119"/>
      <c r="P119"/>
      <c r="Q119"/>
      <c r="R119"/>
    </row>
    <row r="120" spans="1:18" x14ac:dyDescent="0.35">
      <c r="A120" s="177" t="s">
        <v>1088</v>
      </c>
      <c r="B120" s="177" t="s">
        <v>831</v>
      </c>
      <c r="C120" s="177" t="s">
        <v>1995</v>
      </c>
      <c r="D120" s="177" t="s">
        <v>1089</v>
      </c>
      <c r="E120" s="177" t="s">
        <v>1090</v>
      </c>
      <c r="F120" s="177" t="s">
        <v>21</v>
      </c>
      <c r="G120" s="177">
        <v>35214</v>
      </c>
      <c r="H120" s="177">
        <v>35571</v>
      </c>
      <c r="I120" s="177" t="s">
        <v>1091</v>
      </c>
      <c r="J120" s="177">
        <v>2012</v>
      </c>
      <c r="K120" s="177" t="s">
        <v>66</v>
      </c>
      <c r="L120" s="178" t="s">
        <v>30</v>
      </c>
      <c r="M120" s="177"/>
      <c r="N120" s="177" t="s">
        <v>21</v>
      </c>
      <c r="O120"/>
      <c r="P120"/>
      <c r="Q120"/>
      <c r="R120"/>
    </row>
    <row r="121" spans="1:18" x14ac:dyDescent="0.35">
      <c r="A121" s="177" t="s">
        <v>1092</v>
      </c>
      <c r="B121" s="177" t="s">
        <v>831</v>
      </c>
      <c r="C121" s="177" t="s">
        <v>1995</v>
      </c>
      <c r="D121" s="177" t="s">
        <v>1093</v>
      </c>
      <c r="E121" s="177" t="s">
        <v>1094</v>
      </c>
      <c r="F121" s="177" t="s">
        <v>21</v>
      </c>
      <c r="G121" s="177">
        <v>36868</v>
      </c>
      <c r="H121" s="177">
        <v>36868</v>
      </c>
      <c r="I121" s="177" t="s">
        <v>1095</v>
      </c>
      <c r="J121" s="177">
        <v>2014</v>
      </c>
      <c r="K121" s="177" t="s">
        <v>269</v>
      </c>
      <c r="L121" s="178" t="s">
        <v>30</v>
      </c>
      <c r="M121" s="177"/>
      <c r="N121" s="177" t="s">
        <v>21</v>
      </c>
      <c r="O121"/>
      <c r="P121"/>
      <c r="Q121"/>
      <c r="R121"/>
    </row>
    <row r="122" spans="1:18" x14ac:dyDescent="0.35">
      <c r="A122" s="177" t="s">
        <v>1096</v>
      </c>
      <c r="B122" s="177" t="s">
        <v>831</v>
      </c>
      <c r="C122" s="177" t="s">
        <v>1995</v>
      </c>
      <c r="D122" s="177" t="s">
        <v>1097</v>
      </c>
      <c r="E122" s="177" t="s">
        <v>1098</v>
      </c>
      <c r="F122" s="177" t="s">
        <v>21</v>
      </c>
      <c r="G122" s="177">
        <v>36249</v>
      </c>
      <c r="H122" s="177">
        <v>36249</v>
      </c>
      <c r="I122" s="177" t="s">
        <v>195</v>
      </c>
      <c r="J122" s="177">
        <v>2013</v>
      </c>
      <c r="K122" s="177" t="s">
        <v>1099</v>
      </c>
      <c r="L122" s="178" t="s">
        <v>30</v>
      </c>
      <c r="M122" s="177"/>
      <c r="N122" s="177" t="s">
        <v>21</v>
      </c>
      <c r="O122"/>
      <c r="P122"/>
      <c r="Q122"/>
      <c r="R122"/>
    </row>
    <row r="123" spans="1:18" x14ac:dyDescent="0.35">
      <c r="A123" s="177" t="s">
        <v>1100</v>
      </c>
      <c r="B123" s="177" t="s">
        <v>831</v>
      </c>
      <c r="C123" s="177" t="s">
        <v>1995</v>
      </c>
      <c r="D123" s="177" t="s">
        <v>1101</v>
      </c>
      <c r="E123" s="177" t="s">
        <v>1102</v>
      </c>
      <c r="F123" s="177" t="s">
        <v>21</v>
      </c>
      <c r="G123" s="177">
        <v>42174</v>
      </c>
      <c r="H123" s="177">
        <v>42174</v>
      </c>
      <c r="I123" s="177" t="s">
        <v>1103</v>
      </c>
      <c r="J123" s="177">
        <v>2018</v>
      </c>
      <c r="K123" s="177" t="s">
        <v>589</v>
      </c>
      <c r="L123" s="178" t="s">
        <v>30</v>
      </c>
      <c r="M123" s="177"/>
      <c r="N123" s="177" t="s">
        <v>21</v>
      </c>
      <c r="O123"/>
      <c r="P123"/>
      <c r="Q123"/>
      <c r="R123"/>
    </row>
    <row r="124" spans="1:18" x14ac:dyDescent="0.35">
      <c r="A124" s="177" t="s">
        <v>1104</v>
      </c>
      <c r="B124" s="177" t="s">
        <v>831</v>
      </c>
      <c r="C124" s="177" t="s">
        <v>1995</v>
      </c>
      <c r="D124" s="177" t="s">
        <v>1105</v>
      </c>
      <c r="E124" s="177" t="s">
        <v>1106</v>
      </c>
      <c r="F124" s="177" t="s">
        <v>21</v>
      </c>
      <c r="G124" s="177">
        <v>35212</v>
      </c>
      <c r="H124" s="177">
        <v>35465</v>
      </c>
      <c r="I124" s="177" t="s">
        <v>1091</v>
      </c>
      <c r="J124" s="177">
        <v>2012</v>
      </c>
      <c r="K124" s="177" t="s">
        <v>66</v>
      </c>
      <c r="L124" s="178" t="s">
        <v>30</v>
      </c>
      <c r="M124" s="177"/>
      <c r="N124" s="177" t="s">
        <v>21</v>
      </c>
      <c r="O124"/>
      <c r="P124"/>
      <c r="Q124"/>
      <c r="R124"/>
    </row>
    <row r="125" spans="1:18" x14ac:dyDescent="0.35">
      <c r="A125" s="177" t="s">
        <v>1107</v>
      </c>
      <c r="B125" s="177" t="s">
        <v>831</v>
      </c>
      <c r="C125" s="177" t="s">
        <v>1995</v>
      </c>
      <c r="D125" s="177" t="s">
        <v>1108</v>
      </c>
      <c r="E125" s="177" t="s">
        <v>1109</v>
      </c>
      <c r="F125" s="177" t="s">
        <v>21</v>
      </c>
      <c r="G125" s="177">
        <v>51966</v>
      </c>
      <c r="H125" s="177"/>
      <c r="I125" s="177"/>
      <c r="J125" s="177"/>
      <c r="K125" s="177" t="s">
        <v>150</v>
      </c>
      <c r="L125" s="178" t="s">
        <v>30</v>
      </c>
      <c r="M125" s="177"/>
      <c r="N125" s="177" t="s">
        <v>21</v>
      </c>
      <c r="O125"/>
      <c r="P125"/>
      <c r="Q125"/>
      <c r="R125"/>
    </row>
    <row r="126" spans="1:18" x14ac:dyDescent="0.35">
      <c r="A126" s="177" t="s">
        <v>1242</v>
      </c>
      <c r="B126" s="177" t="s">
        <v>831</v>
      </c>
      <c r="C126" s="177" t="s">
        <v>1995</v>
      </c>
      <c r="D126" s="177" t="s">
        <v>1243</v>
      </c>
      <c r="E126" s="177" t="s">
        <v>1244</v>
      </c>
      <c r="F126" s="177" t="s">
        <v>21</v>
      </c>
      <c r="G126" s="177">
        <v>34307</v>
      </c>
      <c r="H126" s="177">
        <v>34411</v>
      </c>
      <c r="I126" s="177" t="s">
        <v>163</v>
      </c>
      <c r="J126" s="177">
        <v>2011</v>
      </c>
      <c r="K126" s="177" t="s">
        <v>164</v>
      </c>
      <c r="L126" s="178" t="s">
        <v>30</v>
      </c>
      <c r="M126" s="177"/>
      <c r="N126" s="177" t="s">
        <v>21</v>
      </c>
      <c r="O126"/>
      <c r="P126"/>
      <c r="Q126"/>
      <c r="R126"/>
    </row>
    <row r="127" spans="1:18" x14ac:dyDescent="0.35">
      <c r="A127" s="183" t="s">
        <v>2344</v>
      </c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/>
      <c r="P127"/>
      <c r="Q127"/>
      <c r="R127"/>
    </row>
    <row r="128" spans="1:18" x14ac:dyDescent="0.35">
      <c r="A128" s="177" t="s">
        <v>1138</v>
      </c>
      <c r="B128" s="177" t="s">
        <v>831</v>
      </c>
      <c r="C128" s="177" t="s">
        <v>2034</v>
      </c>
      <c r="D128" s="177" t="s">
        <v>1139</v>
      </c>
      <c r="E128" s="177" t="s">
        <v>1140</v>
      </c>
      <c r="F128" s="177" t="s">
        <v>21</v>
      </c>
      <c r="G128" s="177">
        <v>38375</v>
      </c>
      <c r="H128" s="177"/>
      <c r="I128" s="180">
        <v>42072</v>
      </c>
      <c r="J128" s="177">
        <v>2015</v>
      </c>
      <c r="K128" s="177"/>
      <c r="L128" s="181" t="s">
        <v>23</v>
      </c>
      <c r="M128" s="177"/>
      <c r="N128" s="177" t="s">
        <v>21</v>
      </c>
      <c r="O128"/>
      <c r="P128"/>
      <c r="Q128"/>
      <c r="R128"/>
    </row>
    <row r="129" spans="1:18" x14ac:dyDescent="0.35">
      <c r="A129" s="177" t="s">
        <v>1069</v>
      </c>
      <c r="B129" s="177" t="s">
        <v>831</v>
      </c>
      <c r="C129" s="177" t="s">
        <v>2034</v>
      </c>
      <c r="D129" s="177" t="s">
        <v>1070</v>
      </c>
      <c r="E129" s="177" t="s">
        <v>1071</v>
      </c>
      <c r="F129" s="177" t="s">
        <v>21</v>
      </c>
      <c r="G129" s="177">
        <v>38572</v>
      </c>
      <c r="H129" s="177"/>
      <c r="I129" s="180">
        <v>42105</v>
      </c>
      <c r="J129" s="177">
        <v>2015</v>
      </c>
      <c r="K129" s="177"/>
      <c r="L129" s="181" t="s">
        <v>23</v>
      </c>
      <c r="M129" s="177"/>
      <c r="N129" s="177" t="s">
        <v>21</v>
      </c>
      <c r="O129"/>
      <c r="P129"/>
      <c r="Q129"/>
      <c r="R129"/>
    </row>
    <row r="130" spans="1:18" x14ac:dyDescent="0.35">
      <c r="A130" s="177" t="s">
        <v>1072</v>
      </c>
      <c r="B130" s="177" t="s">
        <v>831</v>
      </c>
      <c r="C130" s="177" t="s">
        <v>2034</v>
      </c>
      <c r="D130" s="177" t="s">
        <v>1073</v>
      </c>
      <c r="E130" s="177" t="s">
        <v>1074</v>
      </c>
      <c r="F130" s="177" t="s">
        <v>21</v>
      </c>
      <c r="G130" s="177">
        <v>39345</v>
      </c>
      <c r="H130" s="177"/>
      <c r="I130" s="177" t="s">
        <v>1075</v>
      </c>
      <c r="J130" s="177">
        <v>2016</v>
      </c>
      <c r="K130" s="177"/>
      <c r="L130" s="181" t="s">
        <v>23</v>
      </c>
      <c r="M130" s="177"/>
      <c r="N130" s="177" t="s">
        <v>21</v>
      </c>
      <c r="O130"/>
      <c r="P130"/>
      <c r="Q130"/>
      <c r="R130"/>
    </row>
    <row r="131" spans="1:18" x14ac:dyDescent="0.35">
      <c r="A131" s="177" t="s">
        <v>1141</v>
      </c>
      <c r="B131" s="177" t="s">
        <v>831</v>
      </c>
      <c r="C131" s="177" t="s">
        <v>2034</v>
      </c>
      <c r="D131" s="177" t="s">
        <v>1142</v>
      </c>
      <c r="E131" s="177" t="s">
        <v>1143</v>
      </c>
      <c r="F131" s="177" t="s">
        <v>21</v>
      </c>
      <c r="G131" s="177">
        <v>45365</v>
      </c>
      <c r="H131" s="177"/>
      <c r="I131" s="177" t="s">
        <v>1144</v>
      </c>
      <c r="J131" s="177">
        <v>2019</v>
      </c>
      <c r="K131" s="177" t="s">
        <v>739</v>
      </c>
      <c r="L131" s="178" t="s">
        <v>30</v>
      </c>
      <c r="M131" s="177"/>
      <c r="N131" s="177" t="s">
        <v>21</v>
      </c>
      <c r="O131"/>
      <c r="P131"/>
      <c r="Q131"/>
      <c r="R131"/>
    </row>
    <row r="132" spans="1:18" x14ac:dyDescent="0.35">
      <c r="A132" s="177" t="s">
        <v>842</v>
      </c>
      <c r="B132" s="177" t="s">
        <v>831</v>
      </c>
      <c r="C132" s="177" t="s">
        <v>2034</v>
      </c>
      <c r="D132" s="177" t="s">
        <v>843</v>
      </c>
      <c r="E132" s="177" t="s">
        <v>239</v>
      </c>
      <c r="F132" s="177" t="s">
        <v>21</v>
      </c>
      <c r="G132" s="177">
        <v>35995</v>
      </c>
      <c r="H132" s="177"/>
      <c r="I132" s="180">
        <v>41461</v>
      </c>
      <c r="J132" s="177">
        <v>2013</v>
      </c>
      <c r="K132" s="177"/>
      <c r="L132" s="181" t="s">
        <v>23</v>
      </c>
      <c r="M132" s="177"/>
      <c r="N132" s="177" t="s">
        <v>21</v>
      </c>
      <c r="O132"/>
      <c r="P132"/>
      <c r="Q132"/>
      <c r="R132"/>
    </row>
    <row r="133" spans="1:18" x14ac:dyDescent="0.35">
      <c r="A133" s="177" t="s">
        <v>1145</v>
      </c>
      <c r="B133" s="177" t="s">
        <v>831</v>
      </c>
      <c r="C133" s="177" t="s">
        <v>2034</v>
      </c>
      <c r="D133" s="177" t="s">
        <v>1146</v>
      </c>
      <c r="E133" s="177" t="s">
        <v>1147</v>
      </c>
      <c r="F133" s="177" t="s">
        <v>21</v>
      </c>
      <c r="G133" s="177">
        <v>37274</v>
      </c>
      <c r="H133" s="177">
        <v>37274</v>
      </c>
      <c r="I133" s="180">
        <v>41859</v>
      </c>
      <c r="J133" s="177">
        <v>2014</v>
      </c>
      <c r="K133" s="177" t="s">
        <v>155</v>
      </c>
      <c r="L133" s="178" t="s">
        <v>30</v>
      </c>
      <c r="M133" s="177"/>
      <c r="N133" s="177" t="s">
        <v>21</v>
      </c>
      <c r="O133"/>
      <c r="P133"/>
      <c r="Q133"/>
      <c r="R133"/>
    </row>
    <row r="134" spans="1:18" x14ac:dyDescent="0.35">
      <c r="A134" s="177" t="s">
        <v>1173</v>
      </c>
      <c r="B134" s="177" t="s">
        <v>831</v>
      </c>
      <c r="C134" s="177" t="s">
        <v>2034</v>
      </c>
      <c r="D134" s="177" t="s">
        <v>1174</v>
      </c>
      <c r="E134" s="177" t="s">
        <v>1175</v>
      </c>
      <c r="F134" s="177" t="s">
        <v>21</v>
      </c>
      <c r="G134" s="177">
        <v>38602</v>
      </c>
      <c r="H134" s="177"/>
      <c r="I134" s="177" t="s">
        <v>1176</v>
      </c>
      <c r="J134" s="177">
        <v>2015</v>
      </c>
      <c r="K134" s="177"/>
      <c r="L134" s="181" t="s">
        <v>23</v>
      </c>
      <c r="M134" s="177"/>
      <c r="N134" s="177" t="s">
        <v>21</v>
      </c>
      <c r="O134"/>
      <c r="P134"/>
      <c r="Q134"/>
      <c r="R134"/>
    </row>
    <row r="135" spans="1:18" x14ac:dyDescent="0.35">
      <c r="A135" s="177" t="s">
        <v>1110</v>
      </c>
      <c r="B135" s="177" t="s">
        <v>831</v>
      </c>
      <c r="C135" s="177" t="s">
        <v>2034</v>
      </c>
      <c r="D135" s="177" t="s">
        <v>1111</v>
      </c>
      <c r="E135" s="177" t="s">
        <v>1112</v>
      </c>
      <c r="F135" s="177" t="s">
        <v>21</v>
      </c>
      <c r="G135" s="177">
        <v>33032</v>
      </c>
      <c r="H135" s="177">
        <v>33016</v>
      </c>
      <c r="I135" s="177" t="s">
        <v>1113</v>
      </c>
      <c r="J135" s="177">
        <v>2010</v>
      </c>
      <c r="K135" s="177" t="s">
        <v>1114</v>
      </c>
      <c r="L135" s="184" t="s">
        <v>61</v>
      </c>
      <c r="M135" s="177"/>
      <c r="N135" s="177" t="s">
        <v>21</v>
      </c>
      <c r="O135"/>
      <c r="P135"/>
      <c r="Q135"/>
      <c r="R135"/>
    </row>
    <row r="136" spans="1:18" x14ac:dyDescent="0.35">
      <c r="A136" s="177" t="s">
        <v>1180</v>
      </c>
      <c r="B136" s="177" t="s">
        <v>831</v>
      </c>
      <c r="C136" s="177" t="s">
        <v>2034</v>
      </c>
      <c r="D136" s="177" t="s">
        <v>1181</v>
      </c>
      <c r="E136" s="177" t="s">
        <v>1182</v>
      </c>
      <c r="F136" s="177" t="s">
        <v>21</v>
      </c>
      <c r="G136" s="177">
        <v>36869</v>
      </c>
      <c r="H136" s="177"/>
      <c r="I136" s="177" t="s">
        <v>1095</v>
      </c>
      <c r="J136" s="177">
        <v>2014</v>
      </c>
      <c r="K136" s="177"/>
      <c r="L136" s="181" t="s">
        <v>23</v>
      </c>
      <c r="M136" s="177"/>
      <c r="N136" s="177" t="s">
        <v>21</v>
      </c>
      <c r="O136"/>
      <c r="P136"/>
      <c r="Q136"/>
      <c r="R136"/>
    </row>
    <row r="137" spans="1:18" x14ac:dyDescent="0.35">
      <c r="A137" s="177" t="s">
        <v>1239</v>
      </c>
      <c r="B137" s="177" t="s">
        <v>831</v>
      </c>
      <c r="C137" s="177" t="s">
        <v>2034</v>
      </c>
      <c r="D137" s="177" t="s">
        <v>1240</v>
      </c>
      <c r="E137" s="177" t="s">
        <v>1241</v>
      </c>
      <c r="F137" s="177" t="s">
        <v>21</v>
      </c>
      <c r="G137" s="177">
        <v>34304</v>
      </c>
      <c r="H137" s="177">
        <v>34204</v>
      </c>
      <c r="I137" s="177" t="s">
        <v>163</v>
      </c>
      <c r="J137" s="177">
        <v>2011</v>
      </c>
      <c r="K137" s="177" t="s">
        <v>164</v>
      </c>
      <c r="L137" s="178" t="s">
        <v>30</v>
      </c>
      <c r="M137" s="177"/>
      <c r="N137" s="177" t="s">
        <v>21</v>
      </c>
      <c r="O137"/>
      <c r="P137"/>
      <c r="Q137"/>
      <c r="R137"/>
    </row>
    <row r="138" spans="1:18" x14ac:dyDescent="0.35">
      <c r="A138" s="183" t="s">
        <v>2345</v>
      </c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/>
      <c r="P138"/>
      <c r="Q138"/>
      <c r="R138"/>
    </row>
    <row r="139" spans="1:18" x14ac:dyDescent="0.35">
      <c r="A139" s="177" t="s">
        <v>1130</v>
      </c>
      <c r="B139" s="177" t="s">
        <v>831</v>
      </c>
      <c r="C139" s="177" t="s">
        <v>2022</v>
      </c>
      <c r="D139" s="177" t="s">
        <v>1131</v>
      </c>
      <c r="E139" s="177" t="s">
        <v>1132</v>
      </c>
      <c r="F139" s="177" t="s">
        <v>21</v>
      </c>
      <c r="G139" s="177">
        <v>35012</v>
      </c>
      <c r="H139" s="177">
        <v>34791</v>
      </c>
      <c r="I139" s="177" t="s">
        <v>65</v>
      </c>
      <c r="J139" s="177">
        <v>2012</v>
      </c>
      <c r="K139" s="177" t="s">
        <v>66</v>
      </c>
      <c r="L139" s="178" t="s">
        <v>30</v>
      </c>
      <c r="M139" s="177"/>
      <c r="N139" s="177" t="s">
        <v>21</v>
      </c>
      <c r="O139"/>
      <c r="P139"/>
      <c r="Q139"/>
      <c r="R139"/>
    </row>
    <row r="140" spans="1:18" x14ac:dyDescent="0.35">
      <c r="A140" s="177" t="s">
        <v>1177</v>
      </c>
      <c r="B140" s="177" t="s">
        <v>831</v>
      </c>
      <c r="C140" s="177" t="s">
        <v>2022</v>
      </c>
      <c r="D140" s="177" t="s">
        <v>1178</v>
      </c>
      <c r="E140" s="177" t="s">
        <v>1179</v>
      </c>
      <c r="F140" s="177" t="s">
        <v>21</v>
      </c>
      <c r="G140" s="177">
        <v>39442</v>
      </c>
      <c r="H140" s="177">
        <v>39442</v>
      </c>
      <c r="I140" s="180">
        <v>42624</v>
      </c>
      <c r="J140" s="177">
        <v>2016</v>
      </c>
      <c r="K140" s="177" t="s">
        <v>232</v>
      </c>
      <c r="L140" s="178" t="s">
        <v>30</v>
      </c>
      <c r="M140" s="177"/>
      <c r="N140" s="177" t="s">
        <v>21</v>
      </c>
      <c r="O140"/>
      <c r="P140"/>
      <c r="Q140"/>
      <c r="R140"/>
    </row>
    <row r="141" spans="1:18" x14ac:dyDescent="0.35">
      <c r="A141" s="183" t="s">
        <v>2346</v>
      </c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/>
      <c r="P141"/>
      <c r="Q141"/>
      <c r="R141"/>
    </row>
    <row r="142" spans="1:18" x14ac:dyDescent="0.35">
      <c r="A142" s="177" t="s">
        <v>966</v>
      </c>
      <c r="B142" s="177" t="s">
        <v>831</v>
      </c>
      <c r="C142" s="177" t="s">
        <v>2065</v>
      </c>
      <c r="D142" s="177" t="s">
        <v>967</v>
      </c>
      <c r="E142" s="177" t="s">
        <v>968</v>
      </c>
      <c r="F142" s="177" t="s">
        <v>21</v>
      </c>
      <c r="G142" s="177">
        <v>39252</v>
      </c>
      <c r="H142" s="177">
        <v>43312</v>
      </c>
      <c r="I142" s="180">
        <v>42437</v>
      </c>
      <c r="J142" s="177">
        <v>2016</v>
      </c>
      <c r="K142" s="177" t="s">
        <v>232</v>
      </c>
      <c r="L142" s="178" t="s">
        <v>30</v>
      </c>
      <c r="M142" s="177"/>
      <c r="N142" s="177" t="s">
        <v>21</v>
      </c>
      <c r="O142"/>
      <c r="P142"/>
      <c r="Q142"/>
      <c r="R142"/>
    </row>
    <row r="143" spans="1:18" x14ac:dyDescent="0.35">
      <c r="A143" s="183" t="s">
        <v>1758</v>
      </c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/>
      <c r="P143"/>
      <c r="Q143"/>
      <c r="R143"/>
    </row>
    <row r="144" spans="1:18" x14ac:dyDescent="0.35">
      <c r="A144" s="183" t="s">
        <v>2347</v>
      </c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/>
      <c r="P144"/>
      <c r="Q144"/>
      <c r="R144"/>
    </row>
    <row r="145" spans="1:18" x14ac:dyDescent="0.35">
      <c r="A145" s="177" t="s">
        <v>1355</v>
      </c>
      <c r="B145" s="177" t="s">
        <v>1274</v>
      </c>
      <c r="C145" s="177" t="s">
        <v>2073</v>
      </c>
      <c r="D145" s="177" t="s">
        <v>1356</v>
      </c>
      <c r="E145" s="177" t="s">
        <v>1357</v>
      </c>
      <c r="F145" s="177" t="s">
        <v>21</v>
      </c>
      <c r="G145" s="177">
        <v>37511</v>
      </c>
      <c r="H145" s="177">
        <v>37511</v>
      </c>
      <c r="I145" s="180">
        <v>41954</v>
      </c>
      <c r="J145" s="177">
        <v>2014</v>
      </c>
      <c r="K145" s="177" t="s">
        <v>272</v>
      </c>
      <c r="L145" s="184" t="s">
        <v>273</v>
      </c>
      <c r="M145" s="177"/>
      <c r="N145" s="177" t="s">
        <v>21</v>
      </c>
      <c r="O145"/>
      <c r="P145"/>
      <c r="Q145"/>
      <c r="R145"/>
    </row>
    <row r="146" spans="1:18" x14ac:dyDescent="0.35">
      <c r="A146" s="177" t="s">
        <v>1358</v>
      </c>
      <c r="B146" s="177" t="s">
        <v>1274</v>
      </c>
      <c r="C146" s="177" t="s">
        <v>2073</v>
      </c>
      <c r="D146" s="177" t="s">
        <v>1359</v>
      </c>
      <c r="E146" s="177" t="s">
        <v>1360</v>
      </c>
      <c r="F146" s="177" t="s">
        <v>21</v>
      </c>
      <c r="G146" s="177">
        <v>38764</v>
      </c>
      <c r="H146" s="177">
        <v>38764</v>
      </c>
      <c r="I146" s="177" t="s">
        <v>186</v>
      </c>
      <c r="J146" s="177">
        <v>2015</v>
      </c>
      <c r="K146" s="177" t="s">
        <v>187</v>
      </c>
      <c r="L146" s="178" t="s">
        <v>30</v>
      </c>
      <c r="M146" s="177"/>
      <c r="N146" s="177" t="s">
        <v>21</v>
      </c>
      <c r="O146"/>
      <c r="P146"/>
      <c r="Q146"/>
      <c r="R146"/>
    </row>
    <row r="147" spans="1:18" x14ac:dyDescent="0.35">
      <c r="A147" s="177" t="s">
        <v>1361</v>
      </c>
      <c r="B147" s="177" t="s">
        <v>1274</v>
      </c>
      <c r="C147" s="177" t="s">
        <v>2073</v>
      </c>
      <c r="D147" s="177" t="s">
        <v>1362</v>
      </c>
      <c r="E147" s="177" t="s">
        <v>1363</v>
      </c>
      <c r="F147" s="177" t="s">
        <v>21</v>
      </c>
      <c r="G147" s="177">
        <v>38726</v>
      </c>
      <c r="H147" s="177"/>
      <c r="I147" s="177" t="s">
        <v>199</v>
      </c>
      <c r="J147" s="177">
        <v>2015</v>
      </c>
      <c r="K147" s="177"/>
      <c r="L147" s="181" t="s">
        <v>23</v>
      </c>
      <c r="M147" s="177"/>
      <c r="N147" s="177" t="s">
        <v>21</v>
      </c>
      <c r="O147"/>
      <c r="P147"/>
      <c r="Q147"/>
      <c r="R147"/>
    </row>
    <row r="148" spans="1:18" x14ac:dyDescent="0.35">
      <c r="A148" s="177" t="s">
        <v>1428</v>
      </c>
      <c r="B148" s="177" t="s">
        <v>1274</v>
      </c>
      <c r="C148" s="177" t="s">
        <v>2073</v>
      </c>
      <c r="D148" s="177" t="s">
        <v>1429</v>
      </c>
      <c r="E148" s="177" t="s">
        <v>1430</v>
      </c>
      <c r="F148" s="177" t="s">
        <v>21</v>
      </c>
      <c r="G148" s="177">
        <v>37165</v>
      </c>
      <c r="H148" s="177">
        <v>37165</v>
      </c>
      <c r="I148" s="177" t="s">
        <v>729</v>
      </c>
      <c r="J148" s="177">
        <v>2014</v>
      </c>
      <c r="K148" s="177" t="s">
        <v>155</v>
      </c>
      <c r="L148" s="178" t="s">
        <v>30</v>
      </c>
      <c r="M148" s="177"/>
      <c r="N148" s="177" t="s">
        <v>21</v>
      </c>
      <c r="O148"/>
      <c r="P148"/>
      <c r="Q148"/>
      <c r="R148"/>
    </row>
    <row r="149" spans="1:18" x14ac:dyDescent="0.35">
      <c r="A149" s="177" t="s">
        <v>1364</v>
      </c>
      <c r="B149" s="177" t="s">
        <v>1274</v>
      </c>
      <c r="C149" s="177" t="s">
        <v>2073</v>
      </c>
      <c r="D149" s="177" t="s">
        <v>1365</v>
      </c>
      <c r="E149" s="177" t="s">
        <v>1366</v>
      </c>
      <c r="F149" s="177" t="s">
        <v>21</v>
      </c>
      <c r="G149" s="177">
        <v>36634</v>
      </c>
      <c r="H149" s="177">
        <v>36634</v>
      </c>
      <c r="I149" s="177" t="s">
        <v>1087</v>
      </c>
      <c r="J149" s="177">
        <v>2013</v>
      </c>
      <c r="K149" s="177" t="s">
        <v>203</v>
      </c>
      <c r="L149" s="178" t="s">
        <v>30</v>
      </c>
      <c r="M149" s="177"/>
      <c r="N149" s="177" t="s">
        <v>21</v>
      </c>
      <c r="O149"/>
      <c r="P149"/>
      <c r="Q149"/>
      <c r="R149"/>
    </row>
    <row r="150" spans="1:18" x14ac:dyDescent="0.35">
      <c r="A150" s="177" t="s">
        <v>1367</v>
      </c>
      <c r="B150" s="177" t="s">
        <v>1274</v>
      </c>
      <c r="C150" s="177" t="s">
        <v>2073</v>
      </c>
      <c r="D150" s="177" t="s">
        <v>1368</v>
      </c>
      <c r="E150" s="177" t="s">
        <v>1369</v>
      </c>
      <c r="F150" s="177" t="s">
        <v>21</v>
      </c>
      <c r="G150" s="177">
        <v>56287</v>
      </c>
      <c r="H150" s="177"/>
      <c r="I150" s="180">
        <v>44655</v>
      </c>
      <c r="J150" s="177">
        <v>2022</v>
      </c>
      <c r="K150" s="177"/>
      <c r="L150" s="181" t="s">
        <v>23</v>
      </c>
      <c r="M150" s="177"/>
      <c r="N150" s="177" t="s">
        <v>1370</v>
      </c>
      <c r="O150"/>
      <c r="P150"/>
      <c r="Q150"/>
      <c r="R150"/>
    </row>
    <row r="151" spans="1:18" x14ac:dyDescent="0.35">
      <c r="A151" s="177" t="s">
        <v>1437</v>
      </c>
      <c r="B151" s="177" t="s">
        <v>1274</v>
      </c>
      <c r="C151" s="177" t="s">
        <v>2073</v>
      </c>
      <c r="D151" s="177" t="s">
        <v>1438</v>
      </c>
      <c r="E151" s="177" t="s">
        <v>1439</v>
      </c>
      <c r="F151" s="177" t="s">
        <v>21</v>
      </c>
      <c r="G151" s="177">
        <v>57559</v>
      </c>
      <c r="H151" s="177"/>
      <c r="I151" s="180">
        <v>44689</v>
      </c>
      <c r="J151" s="177">
        <v>2022</v>
      </c>
      <c r="K151" s="177"/>
      <c r="L151" s="181" t="s">
        <v>23</v>
      </c>
      <c r="M151" s="177"/>
      <c r="N151" s="177" t="s">
        <v>21</v>
      </c>
      <c r="O151"/>
      <c r="P151"/>
      <c r="Q151"/>
      <c r="R151"/>
    </row>
    <row r="152" spans="1:18" x14ac:dyDescent="0.35">
      <c r="A152" s="177" t="s">
        <v>1371</v>
      </c>
      <c r="B152" s="177" t="s">
        <v>1274</v>
      </c>
      <c r="C152" s="177" t="s">
        <v>2073</v>
      </c>
      <c r="D152" s="177" t="s">
        <v>1372</v>
      </c>
      <c r="E152" s="177" t="s">
        <v>1373</v>
      </c>
      <c r="F152" s="177" t="s">
        <v>21</v>
      </c>
      <c r="G152" s="177">
        <v>35851</v>
      </c>
      <c r="H152" s="177">
        <v>35688</v>
      </c>
      <c r="I152" s="177" t="s">
        <v>1374</v>
      </c>
      <c r="J152" s="177">
        <v>2013</v>
      </c>
      <c r="K152" s="177">
        <v>11</v>
      </c>
      <c r="L152" s="188" t="s">
        <v>1048</v>
      </c>
      <c r="M152" s="177"/>
      <c r="N152" s="177" t="s">
        <v>21</v>
      </c>
      <c r="O152"/>
      <c r="P152"/>
      <c r="Q152"/>
      <c r="R152"/>
    </row>
    <row r="153" spans="1:18" x14ac:dyDescent="0.35">
      <c r="A153" s="183" t="s">
        <v>2348</v>
      </c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/>
      <c r="P153"/>
      <c r="Q153"/>
      <c r="R153"/>
    </row>
    <row r="154" spans="1:18" x14ac:dyDescent="0.35">
      <c r="A154" s="177" t="s">
        <v>1375</v>
      </c>
      <c r="B154" s="177" t="s">
        <v>1274</v>
      </c>
      <c r="C154" s="177" t="s">
        <v>2093</v>
      </c>
      <c r="D154" s="177" t="s">
        <v>1376</v>
      </c>
      <c r="E154" s="177" t="s">
        <v>267</v>
      </c>
      <c r="F154" s="177" t="s">
        <v>21</v>
      </c>
      <c r="G154" s="177" t="s">
        <v>1377</v>
      </c>
      <c r="H154" s="177">
        <v>36966</v>
      </c>
      <c r="I154" s="177" t="s">
        <v>268</v>
      </c>
      <c r="J154" s="177">
        <v>2014</v>
      </c>
      <c r="K154" s="177" t="s">
        <v>1378</v>
      </c>
      <c r="L154" s="178" t="s">
        <v>30</v>
      </c>
      <c r="M154" s="177" t="s">
        <v>94</v>
      </c>
      <c r="N154" s="177" t="s">
        <v>21</v>
      </c>
      <c r="O154"/>
      <c r="P154"/>
      <c r="Q154"/>
      <c r="R154"/>
    </row>
    <row r="155" spans="1:18" x14ac:dyDescent="0.35">
      <c r="A155" s="177" t="s">
        <v>1384</v>
      </c>
      <c r="B155" s="177" t="s">
        <v>1274</v>
      </c>
      <c r="C155" s="177" t="s">
        <v>2093</v>
      </c>
      <c r="D155" s="177" t="s">
        <v>1385</v>
      </c>
      <c r="E155" s="177" t="s">
        <v>1386</v>
      </c>
      <c r="F155" s="177" t="s">
        <v>21</v>
      </c>
      <c r="G155" s="177">
        <v>37354</v>
      </c>
      <c r="H155" s="177">
        <v>37354</v>
      </c>
      <c r="I155" s="177" t="s">
        <v>1387</v>
      </c>
      <c r="J155" s="177">
        <v>2014</v>
      </c>
      <c r="K155" s="177" t="s">
        <v>155</v>
      </c>
      <c r="L155" s="178" t="s">
        <v>30</v>
      </c>
      <c r="M155" s="177"/>
      <c r="N155" s="177" t="s">
        <v>21</v>
      </c>
      <c r="O155"/>
      <c r="P155"/>
      <c r="Q155"/>
      <c r="R155"/>
    </row>
    <row r="156" spans="1:18" x14ac:dyDescent="0.35">
      <c r="A156" s="177" t="s">
        <v>1388</v>
      </c>
      <c r="B156" s="177" t="s">
        <v>1274</v>
      </c>
      <c r="C156" s="177" t="s">
        <v>2093</v>
      </c>
      <c r="D156" s="177" t="s">
        <v>1389</v>
      </c>
      <c r="E156" s="177" t="s">
        <v>1390</v>
      </c>
      <c r="F156" s="177" t="s">
        <v>21</v>
      </c>
      <c r="G156" s="177">
        <v>44364</v>
      </c>
      <c r="H156" s="177"/>
      <c r="I156" s="177" t="s">
        <v>116</v>
      </c>
      <c r="J156" s="177">
        <v>2018</v>
      </c>
      <c r="K156" s="177"/>
      <c r="L156" s="181" t="s">
        <v>23</v>
      </c>
      <c r="M156" s="177"/>
      <c r="N156" s="177" t="s">
        <v>21</v>
      </c>
      <c r="O156"/>
      <c r="P156"/>
      <c r="Q156"/>
      <c r="R156"/>
    </row>
    <row r="157" spans="1:18" x14ac:dyDescent="0.35">
      <c r="A157" s="177" t="s">
        <v>1391</v>
      </c>
      <c r="B157" s="177" t="s">
        <v>1274</v>
      </c>
      <c r="C157" s="177" t="s">
        <v>2093</v>
      </c>
      <c r="D157" s="177" t="s">
        <v>1392</v>
      </c>
      <c r="E157" s="177" t="s">
        <v>1393</v>
      </c>
      <c r="F157" s="177" t="s">
        <v>21</v>
      </c>
      <c r="G157" s="177">
        <v>51958</v>
      </c>
      <c r="H157" s="177"/>
      <c r="I157" s="177" t="s">
        <v>149</v>
      </c>
      <c r="J157" s="177">
        <v>2020</v>
      </c>
      <c r="K157" s="177" t="s">
        <v>150</v>
      </c>
      <c r="L157" s="178" t="s">
        <v>30</v>
      </c>
      <c r="M157" s="177"/>
      <c r="N157" s="177" t="s">
        <v>21</v>
      </c>
      <c r="O157"/>
      <c r="P157"/>
      <c r="Q157"/>
      <c r="R157"/>
    </row>
    <row r="158" spans="1:18" x14ac:dyDescent="0.35">
      <c r="A158" s="177" t="s">
        <v>1404</v>
      </c>
      <c r="B158" s="177" t="s">
        <v>1274</v>
      </c>
      <c r="C158" s="177" t="s">
        <v>2093</v>
      </c>
      <c r="D158" s="177" t="s">
        <v>1405</v>
      </c>
      <c r="E158" s="177" t="s">
        <v>1406</v>
      </c>
      <c r="F158" s="177" t="s">
        <v>21</v>
      </c>
      <c r="G158" s="177">
        <v>39643</v>
      </c>
      <c r="H158" s="177"/>
      <c r="I158" s="177" t="s">
        <v>463</v>
      </c>
      <c r="J158" s="177">
        <v>2016</v>
      </c>
      <c r="K158" s="177" t="s">
        <v>1407</v>
      </c>
      <c r="L158" s="178" t="s">
        <v>30</v>
      </c>
      <c r="M158" s="177"/>
      <c r="N158" s="177" t="s">
        <v>21</v>
      </c>
      <c r="O158"/>
      <c r="P158"/>
      <c r="Q158"/>
      <c r="R158"/>
    </row>
    <row r="159" spans="1:18" x14ac:dyDescent="0.35">
      <c r="A159" s="177" t="s">
        <v>1408</v>
      </c>
      <c r="B159" s="177" t="s">
        <v>1274</v>
      </c>
      <c r="C159" s="177" t="s">
        <v>2093</v>
      </c>
      <c r="D159" s="177" t="s">
        <v>1409</v>
      </c>
      <c r="E159" s="177" t="s">
        <v>1410</v>
      </c>
      <c r="F159" s="177" t="s">
        <v>21</v>
      </c>
      <c r="G159" s="177">
        <v>41473</v>
      </c>
      <c r="H159" s="177">
        <v>41473</v>
      </c>
      <c r="I159" s="177" t="s">
        <v>1411</v>
      </c>
      <c r="J159" s="177">
        <v>2017</v>
      </c>
      <c r="K159" s="177" t="s">
        <v>220</v>
      </c>
      <c r="L159" s="178" t="s">
        <v>30</v>
      </c>
      <c r="M159" s="177"/>
      <c r="N159" s="177" t="s">
        <v>21</v>
      </c>
      <c r="O159"/>
      <c r="P159"/>
      <c r="Q159"/>
      <c r="R159"/>
    </row>
    <row r="160" spans="1:18" x14ac:dyDescent="0.35">
      <c r="A160" s="183" t="s">
        <v>2349</v>
      </c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/>
      <c r="P160"/>
      <c r="Q160"/>
      <c r="R160"/>
    </row>
    <row r="161" spans="1:18" x14ac:dyDescent="0.35">
      <c r="A161" s="177" t="s">
        <v>1412</v>
      </c>
      <c r="B161" s="177" t="s">
        <v>1274</v>
      </c>
      <c r="C161" s="177" t="s">
        <v>2100</v>
      </c>
      <c r="D161" s="177" t="s">
        <v>1413</v>
      </c>
      <c r="E161" s="177" t="s">
        <v>1414</v>
      </c>
      <c r="F161" s="177" t="s">
        <v>21</v>
      </c>
      <c r="G161" s="177">
        <v>58992</v>
      </c>
      <c r="H161" s="177"/>
      <c r="I161" s="177" t="s">
        <v>1415</v>
      </c>
      <c r="J161" s="177">
        <v>2022</v>
      </c>
      <c r="K161" s="177"/>
      <c r="L161" s="181" t="s">
        <v>23</v>
      </c>
      <c r="M161" s="177"/>
      <c r="N161" s="177" t="s">
        <v>1416</v>
      </c>
      <c r="O161"/>
      <c r="P161"/>
      <c r="Q161"/>
      <c r="R161"/>
    </row>
    <row r="162" spans="1:18" x14ac:dyDescent="0.35">
      <c r="A162" s="177" t="s">
        <v>1394</v>
      </c>
      <c r="B162" s="177" t="s">
        <v>1274</v>
      </c>
      <c r="C162" s="177" t="s">
        <v>2100</v>
      </c>
      <c r="D162" s="177" t="s">
        <v>1395</v>
      </c>
      <c r="E162" s="177" t="s">
        <v>1396</v>
      </c>
      <c r="F162" s="177" t="s">
        <v>21</v>
      </c>
      <c r="G162" s="177">
        <v>35505</v>
      </c>
      <c r="H162" s="177">
        <v>35226</v>
      </c>
      <c r="I162" s="177" t="s">
        <v>444</v>
      </c>
      <c r="J162" s="177">
        <v>2012</v>
      </c>
      <c r="K162" s="177" t="s">
        <v>445</v>
      </c>
      <c r="L162" s="178" t="s">
        <v>30</v>
      </c>
      <c r="M162" s="177"/>
      <c r="N162" s="177" t="s">
        <v>21</v>
      </c>
      <c r="O162"/>
      <c r="P162"/>
      <c r="Q162"/>
      <c r="R162"/>
    </row>
    <row r="163" spans="1:18" x14ac:dyDescent="0.35">
      <c r="A163" s="183" t="s">
        <v>2350</v>
      </c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/>
      <c r="P163"/>
      <c r="Q163"/>
      <c r="R163"/>
    </row>
    <row r="164" spans="1:18" x14ac:dyDescent="0.35">
      <c r="A164" s="177" t="s">
        <v>1334</v>
      </c>
      <c r="B164" s="177" t="s">
        <v>1274</v>
      </c>
      <c r="C164" s="177" t="s">
        <v>2112</v>
      </c>
      <c r="D164" s="177" t="s">
        <v>1335</v>
      </c>
      <c r="E164" s="177" t="s">
        <v>1336</v>
      </c>
      <c r="F164" s="177" t="s">
        <v>21</v>
      </c>
      <c r="G164" s="177">
        <v>36248</v>
      </c>
      <c r="H164" s="177"/>
      <c r="I164" s="177" t="s">
        <v>195</v>
      </c>
      <c r="J164" s="177">
        <v>2013</v>
      </c>
      <c r="K164" s="177"/>
      <c r="L164" s="181" t="s">
        <v>23</v>
      </c>
      <c r="M164" s="177"/>
      <c r="N164" s="177" t="s">
        <v>21</v>
      </c>
      <c r="O164"/>
      <c r="P164"/>
      <c r="Q164"/>
      <c r="R164"/>
    </row>
    <row r="165" spans="1:18" x14ac:dyDescent="0.35">
      <c r="A165" s="183" t="s">
        <v>1759</v>
      </c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/>
      <c r="P165"/>
      <c r="Q165"/>
      <c r="R165"/>
    </row>
    <row r="166" spans="1:18" x14ac:dyDescent="0.35">
      <c r="A166" s="183" t="s">
        <v>2351</v>
      </c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/>
      <c r="P166"/>
      <c r="Q166"/>
      <c r="R166"/>
    </row>
    <row r="167" spans="1:18" x14ac:dyDescent="0.35">
      <c r="A167" s="177" t="s">
        <v>1496</v>
      </c>
      <c r="B167" s="177" t="s">
        <v>1451</v>
      </c>
      <c r="C167" s="177" t="s">
        <v>2146</v>
      </c>
      <c r="D167" s="177" t="s">
        <v>1497</v>
      </c>
      <c r="E167" s="177" t="s">
        <v>1498</v>
      </c>
      <c r="F167" s="177" t="s">
        <v>21</v>
      </c>
      <c r="G167" s="177">
        <v>38741</v>
      </c>
      <c r="H167" s="177">
        <v>38741</v>
      </c>
      <c r="I167" s="177" t="s">
        <v>199</v>
      </c>
      <c r="J167" s="177">
        <v>2015</v>
      </c>
      <c r="K167" s="177" t="s">
        <v>651</v>
      </c>
      <c r="L167" s="178" t="s">
        <v>30</v>
      </c>
      <c r="M167" s="177"/>
      <c r="N167" s="177" t="s">
        <v>21</v>
      </c>
      <c r="O167"/>
      <c r="P167"/>
      <c r="Q167"/>
      <c r="R167"/>
    </row>
    <row r="168" spans="1:18" x14ac:dyDescent="0.35">
      <c r="A168" s="177" t="s">
        <v>1501</v>
      </c>
      <c r="B168" s="177" t="s">
        <v>1451</v>
      </c>
      <c r="C168" s="177" t="s">
        <v>2146</v>
      </c>
      <c r="D168" s="177" t="s">
        <v>1502</v>
      </c>
      <c r="E168" s="177" t="s">
        <v>1503</v>
      </c>
      <c r="F168" s="177" t="s">
        <v>21</v>
      </c>
      <c r="G168" s="177">
        <v>50886</v>
      </c>
      <c r="H168" s="177"/>
      <c r="I168" s="180">
        <v>44144</v>
      </c>
      <c r="J168" s="177">
        <v>2020</v>
      </c>
      <c r="K168" s="177" t="s">
        <v>1504</v>
      </c>
      <c r="L168" s="178" t="s">
        <v>30</v>
      </c>
      <c r="M168" s="177"/>
      <c r="N168" s="177" t="s">
        <v>21</v>
      </c>
      <c r="O168"/>
      <c r="P168"/>
      <c r="Q168"/>
      <c r="R168"/>
    </row>
    <row r="169" spans="1:18" x14ac:dyDescent="0.35">
      <c r="A169" s="177" t="s">
        <v>1505</v>
      </c>
      <c r="B169" s="177" t="s">
        <v>1451</v>
      </c>
      <c r="C169" s="177" t="s">
        <v>2146</v>
      </c>
      <c r="D169" s="177" t="s">
        <v>1506</v>
      </c>
      <c r="E169" s="177" t="s">
        <v>1507</v>
      </c>
      <c r="F169" s="177" t="s">
        <v>21</v>
      </c>
      <c r="G169" s="177">
        <v>36330</v>
      </c>
      <c r="H169" s="177">
        <v>36330</v>
      </c>
      <c r="I169" s="180">
        <v>41557</v>
      </c>
      <c r="J169" s="177">
        <v>2013</v>
      </c>
      <c r="K169" s="177" t="s">
        <v>252</v>
      </c>
      <c r="L169" s="178" t="s">
        <v>30</v>
      </c>
      <c r="M169" s="177"/>
      <c r="N169" s="177" t="s">
        <v>21</v>
      </c>
      <c r="O169"/>
      <c r="P169"/>
      <c r="Q169"/>
      <c r="R169"/>
    </row>
    <row r="170" spans="1:18" x14ac:dyDescent="0.35">
      <c r="A170" s="177" t="s">
        <v>1508</v>
      </c>
      <c r="B170" s="177" t="s">
        <v>1451</v>
      </c>
      <c r="C170" s="177" t="s">
        <v>2146</v>
      </c>
      <c r="D170" s="177" t="s">
        <v>1509</v>
      </c>
      <c r="E170" s="177" t="s">
        <v>153</v>
      </c>
      <c r="F170" s="177" t="s">
        <v>21</v>
      </c>
      <c r="G170" s="177">
        <v>38729</v>
      </c>
      <c r="H170" s="177">
        <v>38729</v>
      </c>
      <c r="I170" s="177" t="s">
        <v>199</v>
      </c>
      <c r="J170" s="177">
        <v>2015</v>
      </c>
      <c r="K170" s="177" t="s">
        <v>651</v>
      </c>
      <c r="L170" s="178" t="s">
        <v>30</v>
      </c>
      <c r="M170" s="177"/>
      <c r="N170" s="177" t="s">
        <v>21</v>
      </c>
      <c r="O170"/>
      <c r="P170"/>
      <c r="Q170"/>
      <c r="R170"/>
    </row>
    <row r="171" spans="1:18" x14ac:dyDescent="0.35">
      <c r="A171" s="177" t="s">
        <v>1510</v>
      </c>
      <c r="B171" s="177" t="s">
        <v>1451</v>
      </c>
      <c r="C171" s="177" t="s">
        <v>2146</v>
      </c>
      <c r="D171" s="177" t="s">
        <v>1511</v>
      </c>
      <c r="E171" s="177" t="s">
        <v>1512</v>
      </c>
      <c r="F171" s="177" t="s">
        <v>21</v>
      </c>
      <c r="G171" s="177">
        <v>38373</v>
      </c>
      <c r="H171" s="177">
        <v>38373</v>
      </c>
      <c r="I171" s="180">
        <v>42072</v>
      </c>
      <c r="J171" s="177">
        <v>2015</v>
      </c>
      <c r="K171" s="177" t="s">
        <v>236</v>
      </c>
      <c r="L171" s="178" t="s">
        <v>30</v>
      </c>
      <c r="M171" s="177"/>
      <c r="N171" s="177" t="s">
        <v>21</v>
      </c>
      <c r="O171"/>
      <c r="P171"/>
      <c r="Q171"/>
      <c r="R171"/>
    </row>
    <row r="172" spans="1:18" x14ac:dyDescent="0.35">
      <c r="A172" s="177" t="s">
        <v>1513</v>
      </c>
      <c r="B172" s="177" t="s">
        <v>1451</v>
      </c>
      <c r="C172" s="177" t="s">
        <v>2146</v>
      </c>
      <c r="D172" s="177" t="s">
        <v>1514</v>
      </c>
      <c r="E172" s="177" t="s">
        <v>1515</v>
      </c>
      <c r="F172" s="177" t="s">
        <v>21</v>
      </c>
      <c r="G172" s="177">
        <v>37437</v>
      </c>
      <c r="H172" s="177">
        <v>37347</v>
      </c>
      <c r="I172" s="177" t="s">
        <v>154</v>
      </c>
      <c r="J172" s="177">
        <v>2014</v>
      </c>
      <c r="K172" s="177" t="s">
        <v>155</v>
      </c>
      <c r="L172" s="178" t="s">
        <v>30</v>
      </c>
      <c r="M172" s="177"/>
      <c r="N172" s="177" t="s">
        <v>21</v>
      </c>
      <c r="O172"/>
      <c r="P172"/>
      <c r="Q172"/>
      <c r="R172"/>
    </row>
    <row r="173" spans="1:18" x14ac:dyDescent="0.35">
      <c r="A173" s="177" t="s">
        <v>1516</v>
      </c>
      <c r="B173" s="177" t="s">
        <v>1451</v>
      </c>
      <c r="C173" s="177" t="s">
        <v>2146</v>
      </c>
      <c r="D173" s="177" t="s">
        <v>1517</v>
      </c>
      <c r="E173" s="177" t="s">
        <v>153</v>
      </c>
      <c r="F173" s="177" t="s">
        <v>21</v>
      </c>
      <c r="G173" s="177">
        <v>38755</v>
      </c>
      <c r="H173" s="177"/>
      <c r="I173" s="177" t="s">
        <v>1518</v>
      </c>
      <c r="J173" s="177">
        <v>2015</v>
      </c>
      <c r="K173" s="177"/>
      <c r="L173" s="181" t="s">
        <v>23</v>
      </c>
      <c r="M173" s="177"/>
      <c r="N173" s="177" t="s">
        <v>21</v>
      </c>
      <c r="O173"/>
      <c r="P173"/>
      <c r="Q173"/>
      <c r="R173"/>
    </row>
    <row r="174" spans="1:18" x14ac:dyDescent="0.35">
      <c r="A174" s="177" t="s">
        <v>1519</v>
      </c>
      <c r="B174" s="177" t="s">
        <v>1451</v>
      </c>
      <c r="C174" s="177" t="s">
        <v>2146</v>
      </c>
      <c r="D174" s="177" t="s">
        <v>1520</v>
      </c>
      <c r="E174" s="177" t="s">
        <v>1521</v>
      </c>
      <c r="F174" s="177" t="s">
        <v>21</v>
      </c>
      <c r="G174" s="177">
        <v>55254</v>
      </c>
      <c r="H174" s="177"/>
      <c r="I174" s="177" t="s">
        <v>1522</v>
      </c>
      <c r="J174" s="177">
        <v>2021</v>
      </c>
      <c r="K174" s="177"/>
      <c r="L174" s="181" t="s">
        <v>23</v>
      </c>
      <c r="M174" s="177"/>
      <c r="N174" s="177" t="s">
        <v>21</v>
      </c>
      <c r="O174"/>
      <c r="P174"/>
      <c r="Q174"/>
      <c r="R174"/>
    </row>
    <row r="175" spans="1:18" x14ac:dyDescent="0.35">
      <c r="A175" s="177" t="s">
        <v>1523</v>
      </c>
      <c r="B175" s="177" t="s">
        <v>1451</v>
      </c>
      <c r="C175" s="177" t="s">
        <v>2146</v>
      </c>
      <c r="D175" s="177" t="s">
        <v>1524</v>
      </c>
      <c r="E175" s="177" t="s">
        <v>1525</v>
      </c>
      <c r="F175" s="177" t="s">
        <v>21</v>
      </c>
      <c r="G175" s="177">
        <v>39525</v>
      </c>
      <c r="H175" s="177">
        <v>39525</v>
      </c>
      <c r="I175" s="180">
        <v>42563</v>
      </c>
      <c r="J175" s="177">
        <v>2016</v>
      </c>
      <c r="K175" s="177" t="s">
        <v>125</v>
      </c>
      <c r="L175" s="178" t="s">
        <v>30</v>
      </c>
      <c r="M175" s="177"/>
      <c r="N175" s="177" t="s">
        <v>21</v>
      </c>
      <c r="O175"/>
      <c r="P175"/>
      <c r="Q175"/>
      <c r="R175"/>
    </row>
    <row r="176" spans="1:18" x14ac:dyDescent="0.35">
      <c r="A176" s="177" t="s">
        <v>1526</v>
      </c>
      <c r="B176" s="177" t="s">
        <v>1451</v>
      </c>
      <c r="C176" s="177" t="s">
        <v>2146</v>
      </c>
      <c r="D176" s="177" t="s">
        <v>1527</v>
      </c>
      <c r="E176" s="177" t="s">
        <v>1528</v>
      </c>
      <c r="F176" s="177" t="s">
        <v>21</v>
      </c>
      <c r="G176" s="177">
        <v>47829</v>
      </c>
      <c r="H176" s="177"/>
      <c r="I176" s="177" t="s">
        <v>716</v>
      </c>
      <c r="J176" s="177">
        <v>2019</v>
      </c>
      <c r="K176" s="177" t="s">
        <v>403</v>
      </c>
      <c r="L176" s="178" t="s">
        <v>30</v>
      </c>
      <c r="M176" s="177"/>
      <c r="N176" s="177" t="s">
        <v>21</v>
      </c>
      <c r="O176"/>
      <c r="P176"/>
      <c r="Q176"/>
      <c r="R176"/>
    </row>
    <row r="177" spans="1:18" x14ac:dyDescent="0.35">
      <c r="A177" s="177" t="s">
        <v>1529</v>
      </c>
      <c r="B177" s="177" t="s">
        <v>1451</v>
      </c>
      <c r="C177" s="177" t="s">
        <v>2146</v>
      </c>
      <c r="D177" s="177" t="s">
        <v>1530</v>
      </c>
      <c r="E177" s="177" t="s">
        <v>1531</v>
      </c>
      <c r="F177" s="177" t="s">
        <v>21</v>
      </c>
      <c r="G177" s="177">
        <v>41742</v>
      </c>
      <c r="H177" s="177">
        <v>41742</v>
      </c>
      <c r="I177" s="177" t="s">
        <v>219</v>
      </c>
      <c r="J177" s="177">
        <v>2017</v>
      </c>
      <c r="K177" s="177" t="s">
        <v>220</v>
      </c>
      <c r="L177" s="178" t="s">
        <v>30</v>
      </c>
      <c r="M177" s="177"/>
      <c r="N177" s="177" t="s">
        <v>21</v>
      </c>
      <c r="O177"/>
      <c r="P177"/>
      <c r="Q177"/>
      <c r="R177"/>
    </row>
    <row r="178" spans="1:18" x14ac:dyDescent="0.35">
      <c r="A178" s="177" t="s">
        <v>1535</v>
      </c>
      <c r="B178" s="177" t="s">
        <v>1451</v>
      </c>
      <c r="C178" s="177" t="s">
        <v>2146</v>
      </c>
      <c r="D178" s="177" t="s">
        <v>1536</v>
      </c>
      <c r="E178" s="177" t="s">
        <v>1537</v>
      </c>
      <c r="F178" s="177" t="s">
        <v>21</v>
      </c>
      <c r="G178" s="177">
        <v>35508</v>
      </c>
      <c r="H178" s="177">
        <v>35294</v>
      </c>
      <c r="I178" s="177" t="s">
        <v>444</v>
      </c>
      <c r="J178" s="177">
        <v>2012</v>
      </c>
      <c r="K178" s="177" t="s">
        <v>445</v>
      </c>
      <c r="L178" s="178" t="s">
        <v>30</v>
      </c>
      <c r="M178" s="177"/>
      <c r="N178" s="177" t="s">
        <v>21</v>
      </c>
      <c r="O178"/>
      <c r="P178"/>
      <c r="Q178"/>
      <c r="R178"/>
    </row>
    <row r="179" spans="1:18" x14ac:dyDescent="0.35">
      <c r="A179" s="177" t="s">
        <v>1538</v>
      </c>
      <c r="B179" s="177" t="s">
        <v>1451</v>
      </c>
      <c r="C179" s="177" t="s">
        <v>2146</v>
      </c>
      <c r="D179" s="177" t="s">
        <v>1539</v>
      </c>
      <c r="E179" s="177" t="s">
        <v>1540</v>
      </c>
      <c r="F179" s="177" t="s">
        <v>21</v>
      </c>
      <c r="G179" s="177">
        <v>35213</v>
      </c>
      <c r="H179" s="177">
        <v>35216</v>
      </c>
      <c r="I179" s="177" t="s">
        <v>1091</v>
      </c>
      <c r="J179" s="177">
        <v>2012</v>
      </c>
      <c r="K179" s="177" t="s">
        <v>66</v>
      </c>
      <c r="L179" s="178" t="s">
        <v>30</v>
      </c>
      <c r="M179" s="177"/>
      <c r="N179" s="177" t="s">
        <v>21</v>
      </c>
      <c r="O179"/>
      <c r="P179"/>
      <c r="Q179"/>
      <c r="R179"/>
    </row>
    <row r="180" spans="1:18" x14ac:dyDescent="0.35">
      <c r="A180" s="177" t="s">
        <v>1541</v>
      </c>
      <c r="B180" s="177" t="s">
        <v>1451</v>
      </c>
      <c r="C180" s="177" t="s">
        <v>2146</v>
      </c>
      <c r="D180" s="177" t="s">
        <v>1542</v>
      </c>
      <c r="E180" s="177" t="s">
        <v>1543</v>
      </c>
      <c r="F180" s="177" t="s">
        <v>21</v>
      </c>
      <c r="G180" s="177">
        <v>37434</v>
      </c>
      <c r="H180" s="177">
        <v>37434</v>
      </c>
      <c r="I180" s="177" t="s">
        <v>154</v>
      </c>
      <c r="J180" s="177">
        <v>2014</v>
      </c>
      <c r="K180" s="177" t="s">
        <v>155</v>
      </c>
      <c r="L180" s="178" t="s">
        <v>30</v>
      </c>
      <c r="M180" s="177"/>
      <c r="N180" s="177" t="s">
        <v>21</v>
      </c>
      <c r="O180"/>
      <c r="P180"/>
      <c r="Q180"/>
      <c r="R180"/>
    </row>
    <row r="181" spans="1:18" x14ac:dyDescent="0.35">
      <c r="A181" s="177" t="s">
        <v>1544</v>
      </c>
      <c r="B181" s="177" t="s">
        <v>1451</v>
      </c>
      <c r="C181" s="177" t="s">
        <v>2146</v>
      </c>
      <c r="D181" s="177" t="s">
        <v>1545</v>
      </c>
      <c r="E181" s="177" t="s">
        <v>1546</v>
      </c>
      <c r="F181" s="177" t="s">
        <v>21</v>
      </c>
      <c r="G181" s="177">
        <v>37783</v>
      </c>
      <c r="H181" s="177">
        <v>37783</v>
      </c>
      <c r="I181" s="177" t="s">
        <v>1547</v>
      </c>
      <c r="J181" s="177">
        <v>2015</v>
      </c>
      <c r="K181" s="177" t="s">
        <v>584</v>
      </c>
      <c r="L181" s="178" t="s">
        <v>30</v>
      </c>
      <c r="M181" s="177"/>
      <c r="N181" s="177" t="s">
        <v>21</v>
      </c>
      <c r="O181"/>
      <c r="P181"/>
      <c r="Q181"/>
      <c r="R181"/>
    </row>
    <row r="182" spans="1:18" x14ac:dyDescent="0.35">
      <c r="A182" s="177" t="s">
        <v>1548</v>
      </c>
      <c r="B182" s="177" t="s">
        <v>1451</v>
      </c>
      <c r="C182" s="177" t="s">
        <v>2146</v>
      </c>
      <c r="D182" s="177" t="s">
        <v>1549</v>
      </c>
      <c r="E182" s="177" t="s">
        <v>153</v>
      </c>
      <c r="F182" s="177" t="s">
        <v>21</v>
      </c>
      <c r="G182" s="177">
        <v>37436</v>
      </c>
      <c r="H182" s="177">
        <v>37436</v>
      </c>
      <c r="I182" s="177" t="s">
        <v>154</v>
      </c>
      <c r="J182" s="177">
        <v>2014</v>
      </c>
      <c r="K182" s="177" t="s">
        <v>155</v>
      </c>
      <c r="L182" s="178" t="s">
        <v>30</v>
      </c>
      <c r="M182" s="177"/>
      <c r="N182" s="177" t="s">
        <v>21</v>
      </c>
      <c r="O182"/>
      <c r="P182"/>
      <c r="Q182"/>
      <c r="R182"/>
    </row>
    <row r="183" spans="1:18" x14ac:dyDescent="0.35">
      <c r="A183" s="183" t="s">
        <v>2352</v>
      </c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/>
      <c r="P183"/>
      <c r="Q183"/>
      <c r="R183"/>
    </row>
    <row r="184" spans="1:18" x14ac:dyDescent="0.35">
      <c r="A184" s="177" t="s">
        <v>1550</v>
      </c>
      <c r="B184" s="177" t="s">
        <v>1451</v>
      </c>
      <c r="C184" s="177" t="s">
        <v>2171</v>
      </c>
      <c r="D184" s="177" t="s">
        <v>1551</v>
      </c>
      <c r="E184" s="177" t="s">
        <v>1552</v>
      </c>
      <c r="F184" s="177" t="s">
        <v>21</v>
      </c>
      <c r="G184" s="177">
        <v>36867</v>
      </c>
      <c r="H184" s="177"/>
      <c r="I184" s="177" t="s">
        <v>1095</v>
      </c>
      <c r="J184" s="177">
        <v>2014</v>
      </c>
      <c r="K184" s="177"/>
      <c r="L184" s="181" t="s">
        <v>23</v>
      </c>
      <c r="M184" s="177"/>
      <c r="N184" s="177" t="s">
        <v>21</v>
      </c>
      <c r="O184"/>
      <c r="P184"/>
      <c r="Q184"/>
      <c r="R184"/>
    </row>
    <row r="185" spans="1:18" x14ac:dyDescent="0.35">
      <c r="A185" s="177" t="s">
        <v>1553</v>
      </c>
      <c r="B185" s="177" t="s">
        <v>1451</v>
      </c>
      <c r="C185" s="177" t="s">
        <v>2171</v>
      </c>
      <c r="D185" s="177" t="s">
        <v>1554</v>
      </c>
      <c r="E185" s="177" t="s">
        <v>1555</v>
      </c>
      <c r="F185" s="177" t="s">
        <v>21</v>
      </c>
      <c r="G185" s="177">
        <v>38040</v>
      </c>
      <c r="H185" s="177">
        <v>38040</v>
      </c>
      <c r="I185" s="177" t="s">
        <v>1457</v>
      </c>
      <c r="J185" s="177">
        <v>2015</v>
      </c>
      <c r="K185" s="177" t="s">
        <v>584</v>
      </c>
      <c r="L185" s="178" t="s">
        <v>30</v>
      </c>
      <c r="M185" s="177"/>
      <c r="N185" s="177" t="s">
        <v>21</v>
      </c>
      <c r="O185"/>
      <c r="P185"/>
      <c r="Q185"/>
      <c r="R185"/>
    </row>
    <row r="186" spans="1:18" x14ac:dyDescent="0.35">
      <c r="A186" s="177" t="s">
        <v>1454</v>
      </c>
      <c r="B186" s="177" t="s">
        <v>1451</v>
      </c>
      <c r="C186" s="177" t="s">
        <v>2171</v>
      </c>
      <c r="D186" s="177" t="s">
        <v>1455</v>
      </c>
      <c r="E186" s="177" t="s">
        <v>1456</v>
      </c>
      <c r="F186" s="177" t="s">
        <v>21</v>
      </c>
      <c r="G186" s="177">
        <v>38041</v>
      </c>
      <c r="H186" s="177">
        <v>38041</v>
      </c>
      <c r="I186" s="177" t="s">
        <v>1457</v>
      </c>
      <c r="J186" s="177">
        <v>2015</v>
      </c>
      <c r="K186" s="177" t="s">
        <v>584</v>
      </c>
      <c r="L186" s="178" t="s">
        <v>30</v>
      </c>
      <c r="M186" s="177"/>
      <c r="N186" s="177" t="s">
        <v>21</v>
      </c>
      <c r="O186"/>
      <c r="P186"/>
      <c r="Q186"/>
      <c r="R186"/>
    </row>
    <row r="187" spans="1:18" x14ac:dyDescent="0.35">
      <c r="A187" s="177" t="s">
        <v>1556</v>
      </c>
      <c r="B187" s="177" t="s">
        <v>1451</v>
      </c>
      <c r="C187" s="177" t="s">
        <v>2171</v>
      </c>
      <c r="D187" s="177" t="s">
        <v>1557</v>
      </c>
      <c r="E187" s="177" t="s">
        <v>1558</v>
      </c>
      <c r="F187" s="177" t="s">
        <v>21</v>
      </c>
      <c r="G187" s="177">
        <v>36331</v>
      </c>
      <c r="H187" s="177">
        <v>36331</v>
      </c>
      <c r="I187" s="180">
        <v>41557</v>
      </c>
      <c r="J187" s="177">
        <v>2013</v>
      </c>
      <c r="K187" s="177" t="s">
        <v>252</v>
      </c>
      <c r="L187" s="178" t="s">
        <v>30</v>
      </c>
      <c r="M187" s="177"/>
      <c r="N187" s="177" t="s">
        <v>21</v>
      </c>
      <c r="O187"/>
      <c r="P187"/>
      <c r="Q187"/>
      <c r="R187"/>
    </row>
    <row r="188" spans="1:18" x14ac:dyDescent="0.35">
      <c r="A188" s="177" t="s">
        <v>1562</v>
      </c>
      <c r="B188" s="177" t="s">
        <v>1451</v>
      </c>
      <c r="C188" s="177" t="s">
        <v>2171</v>
      </c>
      <c r="D188" s="177" t="s">
        <v>1563</v>
      </c>
      <c r="E188" s="177" t="s">
        <v>1564</v>
      </c>
      <c r="F188" s="177" t="s">
        <v>21</v>
      </c>
      <c r="G188" s="177">
        <v>35014</v>
      </c>
      <c r="H188" s="177">
        <v>34793</v>
      </c>
      <c r="I188" s="177" t="s">
        <v>65</v>
      </c>
      <c r="J188" s="177">
        <v>2012</v>
      </c>
      <c r="K188" s="177" t="s">
        <v>66</v>
      </c>
      <c r="L188" s="178" t="s">
        <v>30</v>
      </c>
      <c r="M188" s="177"/>
      <c r="N188" s="177" t="s">
        <v>21</v>
      </c>
      <c r="O188"/>
      <c r="P188"/>
      <c r="Q188"/>
      <c r="R188"/>
    </row>
    <row r="189" spans="1:18" x14ac:dyDescent="0.35">
      <c r="A189" s="177" t="s">
        <v>1462</v>
      </c>
      <c r="B189" s="177" t="s">
        <v>1451</v>
      </c>
      <c r="C189" s="177" t="s">
        <v>2171</v>
      </c>
      <c r="D189" s="177" t="s">
        <v>1463</v>
      </c>
      <c r="E189" s="177" t="s">
        <v>1464</v>
      </c>
      <c r="F189" s="177" t="s">
        <v>21</v>
      </c>
      <c r="G189" s="177">
        <v>47390</v>
      </c>
      <c r="H189" s="177"/>
      <c r="I189" s="177" t="s">
        <v>1465</v>
      </c>
      <c r="J189" s="177">
        <v>2019</v>
      </c>
      <c r="K189" s="177" t="s">
        <v>1466</v>
      </c>
      <c r="L189" s="178" t="s">
        <v>30</v>
      </c>
      <c r="M189" s="177"/>
      <c r="N189" s="177" t="s">
        <v>21</v>
      </c>
      <c r="O189"/>
      <c r="P189"/>
      <c r="Q189"/>
      <c r="R189"/>
    </row>
    <row r="190" spans="1:18" x14ac:dyDescent="0.35">
      <c r="A190" s="177" t="s">
        <v>1597</v>
      </c>
      <c r="B190" s="177" t="s">
        <v>1451</v>
      </c>
      <c r="C190" s="177" t="s">
        <v>2171</v>
      </c>
      <c r="D190" s="177" t="s">
        <v>1598</v>
      </c>
      <c r="E190" s="177" t="s">
        <v>1599</v>
      </c>
      <c r="F190" s="177" t="s">
        <v>21</v>
      </c>
      <c r="G190" s="177">
        <v>41071</v>
      </c>
      <c r="H190" s="177">
        <v>41071</v>
      </c>
      <c r="I190" s="180">
        <v>42925</v>
      </c>
      <c r="J190" s="177">
        <v>2017</v>
      </c>
      <c r="K190" s="177" t="s">
        <v>220</v>
      </c>
      <c r="L190" s="178" t="s">
        <v>30</v>
      </c>
      <c r="M190" s="177"/>
      <c r="N190" s="177" t="s">
        <v>21</v>
      </c>
      <c r="O190"/>
      <c r="P190"/>
      <c r="Q190"/>
      <c r="R190"/>
    </row>
    <row r="191" spans="1:18" x14ac:dyDescent="0.35">
      <c r="A191" s="177" t="s">
        <v>1565</v>
      </c>
      <c r="B191" s="177" t="s">
        <v>1451</v>
      </c>
      <c r="C191" s="177" t="s">
        <v>2171</v>
      </c>
      <c r="D191" s="177" t="s">
        <v>1566</v>
      </c>
      <c r="E191" s="177" t="s">
        <v>1567</v>
      </c>
      <c r="F191" s="177" t="s">
        <v>21</v>
      </c>
      <c r="G191" s="177">
        <v>54003</v>
      </c>
      <c r="H191" s="177"/>
      <c r="I191" s="177"/>
      <c r="J191" s="177"/>
      <c r="K191" s="177"/>
      <c r="L191" s="181" t="s">
        <v>23</v>
      </c>
      <c r="M191" s="177"/>
      <c r="N191" s="177" t="s">
        <v>21</v>
      </c>
      <c r="O191"/>
      <c r="P191"/>
      <c r="Q191"/>
      <c r="R191"/>
    </row>
    <row r="192" spans="1:18" x14ac:dyDescent="0.35">
      <c r="A192" s="177" t="s">
        <v>1467</v>
      </c>
      <c r="B192" s="177" t="s">
        <v>1451</v>
      </c>
      <c r="C192" s="177" t="s">
        <v>2171</v>
      </c>
      <c r="D192" s="177" t="s">
        <v>1468</v>
      </c>
      <c r="E192" s="177" t="s">
        <v>1456</v>
      </c>
      <c r="F192" s="177" t="s">
        <v>21</v>
      </c>
      <c r="G192" s="177">
        <v>38055</v>
      </c>
      <c r="H192" s="177">
        <v>38055</v>
      </c>
      <c r="I192" s="177" t="s">
        <v>1469</v>
      </c>
      <c r="J192" s="177">
        <v>2015</v>
      </c>
      <c r="K192" s="177" t="s">
        <v>584</v>
      </c>
      <c r="L192" s="178" t="s">
        <v>30</v>
      </c>
      <c r="M192" s="177"/>
      <c r="N192" s="177" t="s">
        <v>21</v>
      </c>
      <c r="O192"/>
      <c r="P192"/>
      <c r="Q192"/>
      <c r="R192"/>
    </row>
    <row r="193" spans="1:18" x14ac:dyDescent="0.35">
      <c r="A193" s="177" t="s">
        <v>1568</v>
      </c>
      <c r="B193" s="177" t="s">
        <v>1451</v>
      </c>
      <c r="C193" s="177" t="s">
        <v>2171</v>
      </c>
      <c r="D193" s="177" t="s">
        <v>1569</v>
      </c>
      <c r="E193" s="177" t="s">
        <v>1570</v>
      </c>
      <c r="F193" s="177" t="s">
        <v>21</v>
      </c>
      <c r="G193" s="177">
        <v>36538</v>
      </c>
      <c r="H193" s="177">
        <v>36538</v>
      </c>
      <c r="I193" s="180">
        <v>41437</v>
      </c>
      <c r="J193" s="177">
        <v>2013</v>
      </c>
      <c r="K193" s="177" t="s">
        <v>203</v>
      </c>
      <c r="L193" s="178" t="s">
        <v>30</v>
      </c>
      <c r="M193" s="177"/>
      <c r="N193" s="177" t="s">
        <v>21</v>
      </c>
      <c r="O193"/>
      <c r="P193"/>
      <c r="Q193"/>
      <c r="R193"/>
    </row>
    <row r="194" spans="1:18" x14ac:dyDescent="0.35">
      <c r="A194" s="183" t="s">
        <v>2353</v>
      </c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/>
      <c r="P194"/>
      <c r="Q194"/>
      <c r="R194"/>
    </row>
    <row r="195" spans="1:18" x14ac:dyDescent="0.35">
      <c r="A195" s="177" t="s">
        <v>1476</v>
      </c>
      <c r="B195" s="177" t="s">
        <v>1451</v>
      </c>
      <c r="C195" s="177" t="s">
        <v>2130</v>
      </c>
      <c r="D195" s="177" t="s">
        <v>1477</v>
      </c>
      <c r="E195" s="177" t="s">
        <v>1478</v>
      </c>
      <c r="F195" s="177" t="s">
        <v>21</v>
      </c>
      <c r="G195" s="177">
        <v>55229</v>
      </c>
      <c r="H195" s="177"/>
      <c r="I195" s="177" t="s">
        <v>1479</v>
      </c>
      <c r="J195" s="177">
        <v>2021</v>
      </c>
      <c r="K195" s="177" t="s">
        <v>1480</v>
      </c>
      <c r="L195" s="178" t="s">
        <v>30</v>
      </c>
      <c r="M195" s="177"/>
      <c r="N195" s="177" t="s">
        <v>1481</v>
      </c>
      <c r="O195"/>
      <c r="P195"/>
      <c r="Q195"/>
      <c r="R195"/>
    </row>
    <row r="196" spans="1:18" x14ac:dyDescent="0.35">
      <c r="A196" s="177" t="s">
        <v>1482</v>
      </c>
      <c r="B196" s="177" t="s">
        <v>1451</v>
      </c>
      <c r="C196" s="177" t="s">
        <v>2130</v>
      </c>
      <c r="D196" s="177" t="s">
        <v>1483</v>
      </c>
      <c r="E196" s="177" t="s">
        <v>1484</v>
      </c>
      <c r="F196" s="177" t="s">
        <v>21</v>
      </c>
      <c r="G196" s="177">
        <v>58211</v>
      </c>
      <c r="H196" s="177"/>
      <c r="I196" s="177" t="s">
        <v>1485</v>
      </c>
      <c r="J196" s="177">
        <v>2022</v>
      </c>
      <c r="K196" s="177"/>
      <c r="L196" s="181" t="s">
        <v>23</v>
      </c>
      <c r="M196" s="177"/>
      <c r="N196" s="177" t="s">
        <v>21</v>
      </c>
      <c r="O196"/>
      <c r="P196"/>
      <c r="Q196"/>
      <c r="R196"/>
    </row>
    <row r="197" spans="1:18" x14ac:dyDescent="0.35">
      <c r="A197" s="177" t="s">
        <v>1486</v>
      </c>
      <c r="B197" s="177" t="s">
        <v>1451</v>
      </c>
      <c r="C197" s="177" t="s">
        <v>2130</v>
      </c>
      <c r="D197" s="177" t="s">
        <v>1487</v>
      </c>
      <c r="E197" s="177" t="s">
        <v>1488</v>
      </c>
      <c r="F197" s="177" t="s">
        <v>21</v>
      </c>
      <c r="G197" s="177">
        <v>41725</v>
      </c>
      <c r="H197" s="177"/>
      <c r="I197" s="177" t="s">
        <v>588</v>
      </c>
      <c r="J197" s="177">
        <v>2017</v>
      </c>
      <c r="K197" s="177"/>
      <c r="L197" s="181" t="s">
        <v>23</v>
      </c>
      <c r="M197" s="177"/>
      <c r="N197" s="177" t="s">
        <v>21</v>
      </c>
      <c r="O197"/>
      <c r="P197"/>
      <c r="Q197"/>
      <c r="R197"/>
    </row>
    <row r="198" spans="1:18" x14ac:dyDescent="0.35">
      <c r="A198" s="177" t="s">
        <v>1458</v>
      </c>
      <c r="B198" s="177" t="s">
        <v>1451</v>
      </c>
      <c r="C198" s="177" t="s">
        <v>2130</v>
      </c>
      <c r="D198" s="177" t="s">
        <v>1459</v>
      </c>
      <c r="E198" s="177" t="s">
        <v>1460</v>
      </c>
      <c r="F198" s="177" t="s">
        <v>21</v>
      </c>
      <c r="G198" s="177">
        <v>38992</v>
      </c>
      <c r="H198" s="177">
        <v>38992</v>
      </c>
      <c r="I198" s="177" t="s">
        <v>1461</v>
      </c>
      <c r="J198" s="177">
        <v>2016</v>
      </c>
      <c r="K198" s="177" t="s">
        <v>187</v>
      </c>
      <c r="L198" s="178" t="s">
        <v>30</v>
      </c>
      <c r="M198" s="177"/>
      <c r="N198" s="177" t="s">
        <v>21</v>
      </c>
      <c r="O198"/>
      <c r="P198"/>
      <c r="Q198"/>
      <c r="R198"/>
    </row>
    <row r="199" spans="1:18" x14ac:dyDescent="0.35">
      <c r="A199" s="177" t="s">
        <v>1587</v>
      </c>
      <c r="B199" s="177" t="s">
        <v>1451</v>
      </c>
      <c r="C199" s="177" t="s">
        <v>2130</v>
      </c>
      <c r="D199" s="177" t="s">
        <v>1588</v>
      </c>
      <c r="E199" s="177" t="s">
        <v>1589</v>
      </c>
      <c r="F199" s="177" t="s">
        <v>21</v>
      </c>
      <c r="G199" s="177">
        <v>51956</v>
      </c>
      <c r="H199" s="177"/>
      <c r="I199" s="177" t="s">
        <v>149</v>
      </c>
      <c r="J199" s="177">
        <v>2020</v>
      </c>
      <c r="K199" s="177" t="s">
        <v>150</v>
      </c>
      <c r="L199" s="178" t="s">
        <v>30</v>
      </c>
      <c r="M199" s="177"/>
      <c r="N199" s="177" t="s">
        <v>21</v>
      </c>
      <c r="O199"/>
      <c r="P199"/>
      <c r="Q199"/>
      <c r="R199"/>
    </row>
    <row r="200" spans="1:18" x14ac:dyDescent="0.35">
      <c r="A200" s="177" t="s">
        <v>1559</v>
      </c>
      <c r="B200" s="177" t="s">
        <v>1451</v>
      </c>
      <c r="C200" s="177" t="s">
        <v>2130</v>
      </c>
      <c r="D200" s="177" t="s">
        <v>1560</v>
      </c>
      <c r="E200" s="177" t="s">
        <v>1561</v>
      </c>
      <c r="F200" s="177" t="s">
        <v>21</v>
      </c>
      <c r="G200" s="177">
        <v>39663</v>
      </c>
      <c r="H200" s="177">
        <v>39663</v>
      </c>
      <c r="I200" s="177" t="s">
        <v>463</v>
      </c>
      <c r="J200" s="177">
        <v>2016</v>
      </c>
      <c r="K200" s="177" t="s">
        <v>125</v>
      </c>
      <c r="L200" s="178" t="s">
        <v>30</v>
      </c>
      <c r="M200" s="177"/>
      <c r="N200" s="177" t="s">
        <v>21</v>
      </c>
      <c r="O200"/>
      <c r="P200"/>
      <c r="Q200"/>
      <c r="R200"/>
    </row>
    <row r="201" spans="1:18" x14ac:dyDescent="0.35">
      <c r="A201" s="183" t="s">
        <v>2354</v>
      </c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/>
      <c r="P201"/>
      <c r="Q201"/>
      <c r="R201"/>
    </row>
    <row r="202" spans="1:18" x14ac:dyDescent="0.35">
      <c r="A202" s="177" t="s">
        <v>1584</v>
      </c>
      <c r="B202" s="177" t="s">
        <v>1451</v>
      </c>
      <c r="C202" s="177" t="s">
        <v>2140</v>
      </c>
      <c r="D202" s="177" t="s">
        <v>1585</v>
      </c>
      <c r="E202" s="177" t="s">
        <v>1586</v>
      </c>
      <c r="F202" s="177" t="s">
        <v>21</v>
      </c>
      <c r="G202" s="177">
        <v>41739</v>
      </c>
      <c r="H202" s="177"/>
      <c r="I202" s="177" t="s">
        <v>219</v>
      </c>
      <c r="J202" s="177">
        <v>2017</v>
      </c>
      <c r="K202" s="177"/>
      <c r="L202" s="181" t="s">
        <v>23</v>
      </c>
      <c r="M202" s="177"/>
      <c r="N202" s="177" t="s">
        <v>21</v>
      </c>
      <c r="O202"/>
      <c r="P202"/>
      <c r="Q202"/>
      <c r="R202"/>
    </row>
    <row r="203" spans="1:18" x14ac:dyDescent="0.35">
      <c r="A203" s="177" t="s">
        <v>1600</v>
      </c>
      <c r="B203" s="177" t="s">
        <v>1451</v>
      </c>
      <c r="C203" s="177" t="s">
        <v>2140</v>
      </c>
      <c r="D203" s="177" t="s">
        <v>1601</v>
      </c>
      <c r="E203" s="177" t="s">
        <v>1602</v>
      </c>
      <c r="F203" s="177" t="s">
        <v>21</v>
      </c>
      <c r="G203" s="177">
        <v>38595</v>
      </c>
      <c r="H203" s="177"/>
      <c r="I203" s="177" t="s">
        <v>1603</v>
      </c>
      <c r="J203" s="177">
        <v>2015</v>
      </c>
      <c r="K203" s="177"/>
      <c r="L203" s="181" t="s">
        <v>23</v>
      </c>
      <c r="M203" s="177"/>
      <c r="N203" s="177" t="s">
        <v>21</v>
      </c>
      <c r="O203"/>
      <c r="P203"/>
      <c r="Q203"/>
      <c r="R203"/>
    </row>
    <row r="204" spans="1:18" x14ac:dyDescent="0.35">
      <c r="A204" s="177" t="s">
        <v>1608</v>
      </c>
      <c r="B204" s="177" t="s">
        <v>1451</v>
      </c>
      <c r="C204" s="177" t="s">
        <v>2140</v>
      </c>
      <c r="D204" s="177" t="s">
        <v>1609</v>
      </c>
      <c r="E204" s="177" t="s">
        <v>1610</v>
      </c>
      <c r="F204" s="177" t="s">
        <v>21</v>
      </c>
      <c r="G204" s="177">
        <v>38754</v>
      </c>
      <c r="H204" s="177"/>
      <c r="I204" s="177" t="s">
        <v>1518</v>
      </c>
      <c r="J204" s="177">
        <v>2015</v>
      </c>
      <c r="K204" s="177"/>
      <c r="L204" s="181" t="s">
        <v>23</v>
      </c>
      <c r="M204" s="177"/>
      <c r="N204" s="177" t="s">
        <v>21</v>
      </c>
      <c r="O204"/>
      <c r="P204"/>
      <c r="Q204"/>
      <c r="R204"/>
    </row>
    <row r="205" spans="1:18" x14ac:dyDescent="0.35">
      <c r="A205" s="183" t="s">
        <v>2355</v>
      </c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/>
      <c r="P205"/>
      <c r="Q205"/>
      <c r="R205"/>
    </row>
    <row r="206" spans="1:18" x14ac:dyDescent="0.35">
      <c r="A206" s="177" t="s">
        <v>1581</v>
      </c>
      <c r="B206" s="177" t="s">
        <v>1451</v>
      </c>
      <c r="C206" s="177" t="s">
        <v>2127</v>
      </c>
      <c r="D206" s="177" t="s">
        <v>1582</v>
      </c>
      <c r="E206" s="177" t="s">
        <v>1583</v>
      </c>
      <c r="F206" s="177" t="s">
        <v>21</v>
      </c>
      <c r="G206" s="177">
        <v>39670</v>
      </c>
      <c r="H206" s="177">
        <v>39670</v>
      </c>
      <c r="I206" s="177" t="s">
        <v>100</v>
      </c>
      <c r="J206" s="177">
        <v>2016</v>
      </c>
      <c r="K206" s="177" t="s">
        <v>125</v>
      </c>
      <c r="L206" s="178" t="s">
        <v>30</v>
      </c>
      <c r="M206" s="177"/>
      <c r="N206" s="177" t="s">
        <v>21</v>
      </c>
      <c r="O206"/>
      <c r="P206"/>
      <c r="Q206"/>
      <c r="R206"/>
    </row>
    <row r="207" spans="1:18" x14ac:dyDescent="0.35">
      <c r="A207" s="177" t="s">
        <v>1470</v>
      </c>
      <c r="B207" s="177" t="s">
        <v>1451</v>
      </c>
      <c r="C207" s="177" t="s">
        <v>2127</v>
      </c>
      <c r="D207" s="177" t="s">
        <v>1471</v>
      </c>
      <c r="E207" s="177" t="s">
        <v>1472</v>
      </c>
      <c r="F207" s="177" t="s">
        <v>21</v>
      </c>
      <c r="G207" s="177">
        <v>57944</v>
      </c>
      <c r="H207" s="177"/>
      <c r="I207" s="177" t="s">
        <v>52</v>
      </c>
      <c r="J207" s="177">
        <v>2022</v>
      </c>
      <c r="K207" s="177"/>
      <c r="L207" s="181" t="s">
        <v>23</v>
      </c>
      <c r="M207" s="177"/>
      <c r="N207" s="177" t="s">
        <v>21</v>
      </c>
      <c r="O207"/>
      <c r="P207"/>
      <c r="Q207"/>
      <c r="R207"/>
    </row>
    <row r="208" spans="1:18" x14ac:dyDescent="0.35">
      <c r="A208" s="183" t="s">
        <v>2356</v>
      </c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/>
      <c r="P208"/>
      <c r="Q208"/>
      <c r="R208"/>
    </row>
    <row r="209" spans="1:18" x14ac:dyDescent="0.35">
      <c r="A209" s="177" t="s">
        <v>1499</v>
      </c>
      <c r="B209" s="177" t="s">
        <v>1451</v>
      </c>
      <c r="C209" s="177" t="s">
        <v>2185</v>
      </c>
      <c r="D209" s="177" t="s">
        <v>1500</v>
      </c>
      <c r="E209" s="177"/>
      <c r="F209" s="177" t="s">
        <v>21</v>
      </c>
      <c r="G209" s="177">
        <v>35506</v>
      </c>
      <c r="H209" s="177"/>
      <c r="I209" s="177" t="s">
        <v>444</v>
      </c>
      <c r="J209" s="177">
        <v>2012</v>
      </c>
      <c r="K209" s="177"/>
      <c r="L209" s="181" t="s">
        <v>23</v>
      </c>
      <c r="M209" s="177"/>
      <c r="N209" s="177"/>
      <c r="O209"/>
      <c r="P209"/>
      <c r="Q209"/>
      <c r="R209"/>
    </row>
    <row r="210" spans="1:18" x14ac:dyDescent="0.35">
      <c r="A210" s="177" t="s">
        <v>1532</v>
      </c>
      <c r="B210" s="177" t="s">
        <v>1451</v>
      </c>
      <c r="C210" s="177" t="s">
        <v>2185</v>
      </c>
      <c r="D210" s="177" t="s">
        <v>1533</v>
      </c>
      <c r="E210" s="177" t="s">
        <v>1534</v>
      </c>
      <c r="F210" s="177" t="s">
        <v>21</v>
      </c>
      <c r="G210" s="177">
        <v>41732</v>
      </c>
      <c r="H210" s="177">
        <v>41732</v>
      </c>
      <c r="I210" s="177" t="s">
        <v>711</v>
      </c>
      <c r="J210" s="177">
        <v>2017</v>
      </c>
      <c r="K210" s="177" t="s">
        <v>220</v>
      </c>
      <c r="L210" s="178" t="s">
        <v>30</v>
      </c>
      <c r="M210" s="177"/>
      <c r="N210" s="177" t="s">
        <v>21</v>
      </c>
      <c r="O210"/>
      <c r="P210"/>
      <c r="Q210"/>
      <c r="R210"/>
    </row>
    <row r="211" spans="1:18" x14ac:dyDescent="0.35">
      <c r="A211" s="183" t="s">
        <v>2357</v>
      </c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/>
      <c r="P211"/>
      <c r="Q211"/>
      <c r="R211"/>
    </row>
    <row r="212" spans="1:18" x14ac:dyDescent="0.35">
      <c r="A212" s="177" t="s">
        <v>1590</v>
      </c>
      <c r="B212" s="177" t="s">
        <v>1451</v>
      </c>
      <c r="C212" s="177" t="s">
        <v>2169</v>
      </c>
      <c r="D212" s="177" t="s">
        <v>1591</v>
      </c>
      <c r="E212" s="177" t="s">
        <v>1592</v>
      </c>
      <c r="F212" s="177" t="s">
        <v>21</v>
      </c>
      <c r="G212" s="177">
        <v>36963</v>
      </c>
      <c r="H212" s="177">
        <v>36963</v>
      </c>
      <c r="I212" s="177" t="s">
        <v>268</v>
      </c>
      <c r="J212" s="177">
        <v>2014</v>
      </c>
      <c r="K212" s="177" t="s">
        <v>269</v>
      </c>
      <c r="L212" s="178" t="s">
        <v>30</v>
      </c>
      <c r="M212" s="177"/>
      <c r="N212" s="177" t="s">
        <v>21</v>
      </c>
      <c r="O212"/>
      <c r="P212"/>
      <c r="Q212"/>
      <c r="R212"/>
    </row>
    <row r="213" spans="1:18" x14ac:dyDescent="0.35">
      <c r="A213" s="183" t="s">
        <v>1760</v>
      </c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/>
      <c r="P213"/>
      <c r="Q213"/>
      <c r="R213"/>
    </row>
    <row r="214" spans="1:18" x14ac:dyDescent="0.35">
      <c r="A214" s="183" t="s">
        <v>2358</v>
      </c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/>
      <c r="P214"/>
      <c r="Q214"/>
      <c r="R214"/>
    </row>
    <row r="215" spans="1:18" x14ac:dyDescent="0.35">
      <c r="A215" s="177" t="s">
        <v>1616</v>
      </c>
      <c r="B215" s="177" t="s">
        <v>1617</v>
      </c>
      <c r="C215" s="177" t="s">
        <v>2192</v>
      </c>
      <c r="D215" s="177" t="s">
        <v>1618</v>
      </c>
      <c r="E215" s="177" t="s">
        <v>1619</v>
      </c>
      <c r="F215" s="177" t="s">
        <v>21</v>
      </c>
      <c r="G215" s="177" t="s">
        <v>1620</v>
      </c>
      <c r="H215" s="177">
        <v>56282</v>
      </c>
      <c r="I215" s="177" t="s">
        <v>260</v>
      </c>
      <c r="J215" s="177">
        <v>2022</v>
      </c>
      <c r="K215" s="177" t="s">
        <v>1621</v>
      </c>
      <c r="L215" s="181" t="s">
        <v>23</v>
      </c>
      <c r="M215" s="177" t="s">
        <v>94</v>
      </c>
      <c r="N215" s="177" t="s">
        <v>1622</v>
      </c>
      <c r="O215"/>
      <c r="P215"/>
      <c r="Q215"/>
      <c r="R215"/>
    </row>
    <row r="216" spans="1:18" x14ac:dyDescent="0.35">
      <c r="A216" s="177" t="s">
        <v>1690</v>
      </c>
      <c r="B216" s="177" t="s">
        <v>1617</v>
      </c>
      <c r="C216" s="177" t="s">
        <v>2192</v>
      </c>
      <c r="D216" s="177" t="s">
        <v>1691</v>
      </c>
      <c r="E216" s="177" t="s">
        <v>1692</v>
      </c>
      <c r="F216" s="177" t="s">
        <v>21</v>
      </c>
      <c r="G216" s="177">
        <v>55253</v>
      </c>
      <c r="H216" s="177"/>
      <c r="I216" s="177" t="s">
        <v>1522</v>
      </c>
      <c r="J216" s="177">
        <v>2021</v>
      </c>
      <c r="K216" s="177" t="s">
        <v>85</v>
      </c>
      <c r="L216" s="178" t="s">
        <v>30</v>
      </c>
      <c r="M216" s="177"/>
      <c r="N216" s="177" t="s">
        <v>21</v>
      </c>
      <c r="O216"/>
      <c r="P216"/>
      <c r="Q216"/>
      <c r="R216"/>
    </row>
    <row r="217" spans="1:18" x14ac:dyDescent="0.35">
      <c r="A217" s="177" t="s">
        <v>1644</v>
      </c>
      <c r="B217" s="177" t="s">
        <v>1617</v>
      </c>
      <c r="C217" s="177" t="s">
        <v>2192</v>
      </c>
      <c r="D217" s="177" t="s">
        <v>1645</v>
      </c>
      <c r="E217" s="177" t="s">
        <v>1646</v>
      </c>
      <c r="F217" s="177" t="s">
        <v>21</v>
      </c>
      <c r="G217" s="177">
        <v>55252</v>
      </c>
      <c r="H217" s="177"/>
      <c r="I217" s="177" t="s">
        <v>1522</v>
      </c>
      <c r="J217" s="177">
        <v>2021</v>
      </c>
      <c r="K217" s="177" t="s">
        <v>85</v>
      </c>
      <c r="L217" s="178" t="s">
        <v>30</v>
      </c>
      <c r="M217" s="177"/>
      <c r="N217" s="177" t="s">
        <v>21</v>
      </c>
      <c r="O217"/>
      <c r="P217"/>
      <c r="Q217"/>
      <c r="R217"/>
    </row>
    <row r="218" spans="1:18" x14ac:dyDescent="0.35">
      <c r="A218" s="177" t="s">
        <v>1673</v>
      </c>
      <c r="B218" s="177" t="s">
        <v>1617</v>
      </c>
      <c r="C218" s="177" t="s">
        <v>2192</v>
      </c>
      <c r="D218" s="177" t="s">
        <v>1674</v>
      </c>
      <c r="E218" s="177" t="s">
        <v>1675</v>
      </c>
      <c r="F218" s="177" t="s">
        <v>21</v>
      </c>
      <c r="G218" s="177">
        <v>37326</v>
      </c>
      <c r="H218" s="177">
        <v>37326</v>
      </c>
      <c r="I218" s="180">
        <v>41738</v>
      </c>
      <c r="J218" s="177">
        <v>2014</v>
      </c>
      <c r="K218" s="177" t="s">
        <v>155</v>
      </c>
      <c r="L218" s="178" t="s">
        <v>30</v>
      </c>
      <c r="M218" s="177"/>
      <c r="N218" s="177" t="s">
        <v>21</v>
      </c>
      <c r="O218"/>
      <c r="P218"/>
      <c r="Q218"/>
      <c r="R218"/>
    </row>
    <row r="219" spans="1:18" x14ac:dyDescent="0.35">
      <c r="A219" s="183" t="s">
        <v>2359</v>
      </c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/>
      <c r="P219"/>
      <c r="Q219"/>
      <c r="R219"/>
    </row>
    <row r="220" spans="1:18" x14ac:dyDescent="0.35">
      <c r="A220" s="177" t="s">
        <v>1623</v>
      </c>
      <c r="B220" s="177" t="s">
        <v>1617</v>
      </c>
      <c r="C220" s="177" t="s">
        <v>2200</v>
      </c>
      <c r="D220" s="177" t="s">
        <v>1624</v>
      </c>
      <c r="E220" s="177" t="s">
        <v>202</v>
      </c>
      <c r="F220" s="177" t="s">
        <v>21</v>
      </c>
      <c r="G220" s="177">
        <v>37536</v>
      </c>
      <c r="H220" s="177">
        <v>37536</v>
      </c>
      <c r="I220" s="177" t="s">
        <v>392</v>
      </c>
      <c r="J220" s="177">
        <v>2014</v>
      </c>
      <c r="K220" s="177" t="s">
        <v>155</v>
      </c>
      <c r="L220" s="178" t="s">
        <v>30</v>
      </c>
      <c r="M220" s="177"/>
      <c r="N220" s="177" t="s">
        <v>21</v>
      </c>
      <c r="O220"/>
      <c r="P220"/>
      <c r="Q220"/>
      <c r="R220"/>
    </row>
    <row r="221" spans="1:18" x14ac:dyDescent="0.35">
      <c r="A221" s="177" t="s">
        <v>1625</v>
      </c>
      <c r="B221" s="177" t="s">
        <v>1617</v>
      </c>
      <c r="C221" s="177" t="s">
        <v>2200</v>
      </c>
      <c r="D221" s="177" t="s">
        <v>1626</v>
      </c>
      <c r="E221" s="177" t="s">
        <v>202</v>
      </c>
      <c r="F221" s="177" t="s">
        <v>21</v>
      </c>
      <c r="G221" s="177">
        <v>37535</v>
      </c>
      <c r="H221" s="177">
        <v>37535</v>
      </c>
      <c r="I221" s="177" t="s">
        <v>392</v>
      </c>
      <c r="J221" s="177">
        <v>2014</v>
      </c>
      <c r="K221" s="177" t="s">
        <v>155</v>
      </c>
      <c r="L221" s="178" t="s">
        <v>30</v>
      </c>
      <c r="M221" s="177"/>
      <c r="N221" s="177" t="s">
        <v>21</v>
      </c>
      <c r="O221"/>
      <c r="P221"/>
      <c r="Q221"/>
      <c r="R221"/>
    </row>
    <row r="222" spans="1:18" x14ac:dyDescent="0.35">
      <c r="A222" s="177" t="s">
        <v>1698</v>
      </c>
      <c r="B222" s="177" t="s">
        <v>1617</v>
      </c>
      <c r="C222" s="177" t="s">
        <v>2200</v>
      </c>
      <c r="D222" s="177" t="s">
        <v>1699</v>
      </c>
      <c r="E222" s="177" t="s">
        <v>202</v>
      </c>
      <c r="F222" s="177" t="s">
        <v>21</v>
      </c>
      <c r="G222" s="177">
        <v>37275</v>
      </c>
      <c r="H222" s="177">
        <v>37275</v>
      </c>
      <c r="I222" s="180">
        <v>41859</v>
      </c>
      <c r="J222" s="177">
        <v>2014</v>
      </c>
      <c r="K222" s="177" t="s">
        <v>155</v>
      </c>
      <c r="L222" s="178" t="s">
        <v>30</v>
      </c>
      <c r="M222" s="177"/>
      <c r="N222" s="177" t="s">
        <v>21</v>
      </c>
      <c r="O222"/>
      <c r="P222"/>
      <c r="Q222"/>
      <c r="R222"/>
    </row>
    <row r="223" spans="1:18" x14ac:dyDescent="0.35">
      <c r="A223" s="183" t="s">
        <v>2360</v>
      </c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/>
      <c r="P223"/>
      <c r="Q223"/>
      <c r="R223"/>
    </row>
    <row r="224" spans="1:18" x14ac:dyDescent="0.35">
      <c r="A224" s="177" t="s">
        <v>1670</v>
      </c>
      <c r="B224" s="177" t="s">
        <v>1617</v>
      </c>
      <c r="C224" s="177" t="s">
        <v>2213</v>
      </c>
      <c r="D224" s="177" t="s">
        <v>1671</v>
      </c>
      <c r="E224" s="177" t="s">
        <v>1672</v>
      </c>
      <c r="F224" s="177" t="s">
        <v>21</v>
      </c>
      <c r="G224" s="177">
        <v>39098</v>
      </c>
      <c r="H224" s="177"/>
      <c r="I224" s="180">
        <v>42557</v>
      </c>
      <c r="J224" s="177">
        <v>2016</v>
      </c>
      <c r="K224" s="177"/>
      <c r="L224" s="181" t="s">
        <v>23</v>
      </c>
      <c r="M224" s="177"/>
      <c r="N224" s="177" t="s">
        <v>21</v>
      </c>
      <c r="O224"/>
      <c r="P224"/>
      <c r="Q224"/>
      <c r="R224"/>
    </row>
    <row r="225" spans="1:18" x14ac:dyDescent="0.35">
      <c r="A225" s="177" t="s">
        <v>1676</v>
      </c>
      <c r="B225" s="177" t="s">
        <v>1617</v>
      </c>
      <c r="C225" s="177" t="s">
        <v>2213</v>
      </c>
      <c r="D225" s="177" t="s">
        <v>1677</v>
      </c>
      <c r="E225" s="177" t="s">
        <v>1678</v>
      </c>
      <c r="F225" s="177" t="s">
        <v>21</v>
      </c>
      <c r="G225" s="177">
        <v>39587</v>
      </c>
      <c r="H225" s="177"/>
      <c r="I225" s="177" t="s">
        <v>463</v>
      </c>
      <c r="J225" s="177">
        <v>2016</v>
      </c>
      <c r="K225" s="177"/>
      <c r="L225" s="181" t="s">
        <v>23</v>
      </c>
      <c r="M225" s="177"/>
      <c r="N225" s="177" t="s">
        <v>21</v>
      </c>
      <c r="O225"/>
      <c r="P225"/>
      <c r="Q225"/>
      <c r="R225"/>
    </row>
    <row r="226" spans="1:18" x14ac:dyDescent="0.35">
      <c r="A226" s="183" t="s">
        <v>2361</v>
      </c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/>
      <c r="P226"/>
      <c r="Q226"/>
      <c r="R226"/>
    </row>
    <row r="227" spans="1:18" x14ac:dyDescent="0.35">
      <c r="A227" s="177" t="s">
        <v>1653</v>
      </c>
      <c r="B227" s="177" t="s">
        <v>1617</v>
      </c>
      <c r="C227" s="177" t="s">
        <v>2217</v>
      </c>
      <c r="D227" s="177" t="s">
        <v>1654</v>
      </c>
      <c r="E227" s="177" t="s">
        <v>1655</v>
      </c>
      <c r="F227" s="177" t="s">
        <v>21</v>
      </c>
      <c r="G227" s="177">
        <v>60000</v>
      </c>
      <c r="H227" s="177"/>
      <c r="I227" s="180">
        <v>45081</v>
      </c>
      <c r="J227" s="177">
        <v>2023</v>
      </c>
      <c r="K227" s="177"/>
      <c r="L227" s="181" t="s">
        <v>23</v>
      </c>
      <c r="M227" s="177"/>
      <c r="N227" s="177" t="s">
        <v>1656</v>
      </c>
      <c r="O227"/>
      <c r="P227"/>
      <c r="Q227"/>
      <c r="R227"/>
    </row>
    <row r="228" spans="1:18" x14ac:dyDescent="0.35">
      <c r="A228" s="177" t="s">
        <v>1713</v>
      </c>
      <c r="B228" s="177" t="s">
        <v>1617</v>
      </c>
      <c r="C228" s="177" t="s">
        <v>2217</v>
      </c>
      <c r="D228" s="177" t="s">
        <v>1714</v>
      </c>
      <c r="E228" s="177" t="s">
        <v>1715</v>
      </c>
      <c r="F228" s="177" t="s">
        <v>21</v>
      </c>
      <c r="G228" s="177">
        <v>62697</v>
      </c>
      <c r="H228" s="177"/>
      <c r="I228" s="180">
        <v>44967</v>
      </c>
      <c r="J228" s="177">
        <v>2023</v>
      </c>
      <c r="K228" s="177"/>
      <c r="L228" s="181" t="s">
        <v>23</v>
      </c>
      <c r="M228" s="177"/>
      <c r="N228" s="177" t="s">
        <v>1656</v>
      </c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00"/>
  <sheetViews>
    <sheetView showGridLines="0" zoomScale="55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82.1796875" style="19" bestFit="1" customWidth="1"/>
    <col min="2" max="2" width="57.1796875" style="19" bestFit="1" customWidth="1"/>
    <col min="3" max="3" width="74.6328125" style="19" bestFit="1" customWidth="1"/>
    <col min="4" max="4" width="178.54296875" style="19" bestFit="1" customWidth="1"/>
    <col min="5" max="5" width="155.6328125" style="19" bestFit="1" customWidth="1"/>
    <col min="6" max="6" width="23.1796875" style="19" bestFit="1" customWidth="1"/>
    <col min="7" max="7" width="21.8164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35.54296875" style="19" bestFit="1" customWidth="1"/>
    <col min="12" max="12" width="31.6328125" style="19" bestFit="1" customWidth="1"/>
    <col min="13" max="13" width="22.1796875" style="19" customWidth="1"/>
    <col min="14" max="14" width="57.6328125" style="19" bestFit="1" customWidth="1"/>
    <col min="15" max="15" width="8.08984375" style="19" bestFit="1" customWidth="1"/>
    <col min="16" max="16" width="41.1796875" style="19" bestFit="1" customWidth="1"/>
    <col min="17" max="17" width="55.1796875" style="19" bestFit="1" customWidth="1"/>
    <col min="18" max="18" width="33.54296875" style="19" bestFit="1" customWidth="1"/>
    <col min="19" max="16384" width="8.90625" style="19"/>
  </cols>
  <sheetData>
    <row r="1" spans="1:18" x14ac:dyDescent="0.35">
      <c r="A1" s="284" t="s">
        <v>1736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3" t="s">
        <v>1761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/>
      <c r="P3"/>
      <c r="Q3"/>
      <c r="R3"/>
    </row>
    <row r="4" spans="1:18" x14ac:dyDescent="0.35">
      <c r="A4" s="187" t="s">
        <v>2345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/>
      <c r="P4"/>
      <c r="Q4"/>
      <c r="R4"/>
    </row>
    <row r="5" spans="1:18" x14ac:dyDescent="0.35">
      <c r="A5" s="177" t="s">
        <v>1193</v>
      </c>
      <c r="B5" s="177" t="s">
        <v>831</v>
      </c>
      <c r="C5" s="177" t="s">
        <v>2022</v>
      </c>
      <c r="D5" s="177" t="s">
        <v>1194</v>
      </c>
      <c r="E5" s="177"/>
      <c r="F5" s="177" t="s">
        <v>874</v>
      </c>
      <c r="G5" s="177" t="s">
        <v>1195</v>
      </c>
      <c r="H5" s="177"/>
      <c r="I5" s="180">
        <v>43263</v>
      </c>
      <c r="J5" s="177">
        <v>2018</v>
      </c>
      <c r="K5" s="177" t="s">
        <v>37</v>
      </c>
      <c r="L5" s="178" t="s">
        <v>30</v>
      </c>
      <c r="M5" s="177"/>
      <c r="N5" s="177" t="s">
        <v>874</v>
      </c>
      <c r="O5"/>
      <c r="P5"/>
      <c r="Q5"/>
      <c r="R5"/>
    </row>
    <row r="6" spans="1:18" x14ac:dyDescent="0.35">
      <c r="A6" s="177" t="s">
        <v>1223</v>
      </c>
      <c r="B6" s="177" t="s">
        <v>831</v>
      </c>
      <c r="C6" s="177" t="s">
        <v>2022</v>
      </c>
      <c r="D6" s="177" t="s">
        <v>1224</v>
      </c>
      <c r="E6" s="177"/>
      <c r="F6" s="177" t="s">
        <v>874</v>
      </c>
      <c r="G6" s="177" t="s">
        <v>1225</v>
      </c>
      <c r="H6" s="177"/>
      <c r="I6" s="177" t="s">
        <v>424</v>
      </c>
      <c r="J6" s="177">
        <v>2019</v>
      </c>
      <c r="K6" s="177" t="s">
        <v>78</v>
      </c>
      <c r="L6" s="179" t="s">
        <v>79</v>
      </c>
      <c r="M6" s="177"/>
      <c r="N6" s="177" t="s">
        <v>874</v>
      </c>
      <c r="O6"/>
      <c r="P6"/>
      <c r="Q6"/>
      <c r="R6"/>
    </row>
    <row r="7" spans="1:18" x14ac:dyDescent="0.35">
      <c r="A7" s="183" t="s">
        <v>2362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/>
      <c r="P7"/>
      <c r="Q7"/>
      <c r="R7"/>
    </row>
    <row r="8" spans="1:18" x14ac:dyDescent="0.35">
      <c r="A8" s="177" t="s">
        <v>998</v>
      </c>
      <c r="B8" s="177" t="s">
        <v>831</v>
      </c>
      <c r="C8" s="177" t="s">
        <v>2034</v>
      </c>
      <c r="D8" s="177" t="s">
        <v>999</v>
      </c>
      <c r="E8" s="177"/>
      <c r="F8" s="177" t="s">
        <v>874</v>
      </c>
      <c r="G8" s="177" t="s">
        <v>1000</v>
      </c>
      <c r="H8" s="177"/>
      <c r="I8" s="177" t="s">
        <v>424</v>
      </c>
      <c r="J8" s="177">
        <v>2019</v>
      </c>
      <c r="K8" s="177" t="s">
        <v>37</v>
      </c>
      <c r="L8" s="178" t="s">
        <v>30</v>
      </c>
      <c r="M8" s="177"/>
      <c r="N8" s="177" t="s">
        <v>874</v>
      </c>
      <c r="O8"/>
      <c r="P8"/>
      <c r="Q8"/>
      <c r="R8"/>
    </row>
    <row r="9" spans="1:18" x14ac:dyDescent="0.35">
      <c r="A9" s="183" t="s">
        <v>2363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/>
      <c r="P9"/>
      <c r="Q9"/>
      <c r="R9"/>
    </row>
    <row r="10" spans="1:18" x14ac:dyDescent="0.35">
      <c r="A10" s="177" t="s">
        <v>872</v>
      </c>
      <c r="B10" s="177" t="s">
        <v>831</v>
      </c>
      <c r="C10" s="177" t="s">
        <v>2060</v>
      </c>
      <c r="D10" s="177" t="s">
        <v>873</v>
      </c>
      <c r="E10" s="177"/>
      <c r="F10" s="177" t="s">
        <v>874</v>
      </c>
      <c r="G10" s="177" t="s">
        <v>875</v>
      </c>
      <c r="H10" s="177"/>
      <c r="I10" s="177" t="s">
        <v>876</v>
      </c>
      <c r="J10" s="177">
        <v>2023</v>
      </c>
      <c r="K10" s="177" t="s">
        <v>106</v>
      </c>
      <c r="L10" s="182" t="s">
        <v>107</v>
      </c>
      <c r="M10" s="177"/>
      <c r="N10" s="177" t="s">
        <v>874</v>
      </c>
      <c r="O10"/>
      <c r="P10"/>
      <c r="Q10"/>
      <c r="R10"/>
    </row>
    <row r="11" spans="1:18" x14ac:dyDescent="0.35">
      <c r="A11" s="183" t="s">
        <v>2346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/>
      <c r="P11"/>
      <c r="Q11"/>
      <c r="R11"/>
    </row>
    <row r="12" spans="1:18" x14ac:dyDescent="0.35">
      <c r="A12" s="177" t="s">
        <v>885</v>
      </c>
      <c r="B12" s="177" t="s">
        <v>831</v>
      </c>
      <c r="C12" s="177" t="s">
        <v>2065</v>
      </c>
      <c r="D12" s="177" t="s">
        <v>886</v>
      </c>
      <c r="E12" s="177"/>
      <c r="F12" s="177" t="s">
        <v>874</v>
      </c>
      <c r="G12" s="177" t="s">
        <v>887</v>
      </c>
      <c r="H12" s="177"/>
      <c r="I12" s="177" t="s">
        <v>888</v>
      </c>
      <c r="J12" s="177">
        <v>2019</v>
      </c>
      <c r="K12" s="177" t="s">
        <v>78</v>
      </c>
      <c r="L12" s="179" t="s">
        <v>79</v>
      </c>
      <c r="M12" s="177"/>
      <c r="N12" s="177" t="s">
        <v>874</v>
      </c>
      <c r="O12"/>
      <c r="P12"/>
      <c r="Q12"/>
      <c r="R12"/>
    </row>
    <row r="13" spans="1:18" x14ac:dyDescent="0.35">
      <c r="A13" s="183" t="s">
        <v>1762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/>
      <c r="P13"/>
      <c r="Q13"/>
      <c r="R13"/>
    </row>
    <row r="14" spans="1:18" x14ac:dyDescent="0.35">
      <c r="A14" s="183" t="s">
        <v>2364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/>
      <c r="P14"/>
      <c r="Q14"/>
      <c r="R14"/>
    </row>
    <row r="15" spans="1:18" x14ac:dyDescent="0.35">
      <c r="A15" s="177" t="s">
        <v>1287</v>
      </c>
      <c r="B15" s="177" t="s">
        <v>1274</v>
      </c>
      <c r="C15" s="177" t="s">
        <v>2112</v>
      </c>
      <c r="D15" s="177" t="s">
        <v>1288</v>
      </c>
      <c r="E15" s="177" t="s">
        <v>1289</v>
      </c>
      <c r="F15" s="177" t="s">
        <v>874</v>
      </c>
      <c r="G15" s="177" t="s">
        <v>1290</v>
      </c>
      <c r="H15" s="177"/>
      <c r="I15" s="177" t="s">
        <v>1291</v>
      </c>
      <c r="J15" s="177">
        <v>2020</v>
      </c>
      <c r="K15" s="177" t="s">
        <v>1292</v>
      </c>
      <c r="L15" s="178" t="s">
        <v>30</v>
      </c>
      <c r="M15" s="177"/>
      <c r="N15" s="177" t="s">
        <v>1293</v>
      </c>
      <c r="O15"/>
      <c r="P15"/>
      <c r="Q15"/>
      <c r="R15"/>
    </row>
    <row r="16" spans="1:18" x14ac:dyDescent="0.35">
      <c r="A16" s="177" t="s">
        <v>1296</v>
      </c>
      <c r="B16" s="177" t="s">
        <v>1274</v>
      </c>
      <c r="C16" s="177" t="s">
        <v>2112</v>
      </c>
      <c r="D16" s="177" t="s">
        <v>1297</v>
      </c>
      <c r="E16" s="177"/>
      <c r="F16" s="177" t="s">
        <v>874</v>
      </c>
      <c r="G16" s="177">
        <v>72837</v>
      </c>
      <c r="H16" s="177"/>
      <c r="I16" s="177" t="s">
        <v>1298</v>
      </c>
      <c r="J16" s="177">
        <v>2025</v>
      </c>
      <c r="K16" s="177" t="s">
        <v>78</v>
      </c>
      <c r="L16" s="179" t="s">
        <v>79</v>
      </c>
      <c r="M16" s="177"/>
      <c r="N16" s="177" t="s">
        <v>874</v>
      </c>
      <c r="O16"/>
      <c r="P16"/>
      <c r="Q16"/>
      <c r="R16"/>
    </row>
    <row r="17" spans="1:18" x14ac:dyDescent="0.35">
      <c r="A17" s="177" t="s">
        <v>1308</v>
      </c>
      <c r="B17" s="177" t="s">
        <v>1274</v>
      </c>
      <c r="C17" s="177" t="s">
        <v>2112</v>
      </c>
      <c r="D17" s="177" t="s">
        <v>1309</v>
      </c>
      <c r="E17" s="177"/>
      <c r="F17" s="177" t="s">
        <v>874</v>
      </c>
      <c r="G17" s="177">
        <v>72047</v>
      </c>
      <c r="H17" s="177"/>
      <c r="I17" s="180">
        <v>45664</v>
      </c>
      <c r="J17" s="177">
        <v>2025</v>
      </c>
      <c r="K17" s="177" t="s">
        <v>78</v>
      </c>
      <c r="L17" s="179" t="s">
        <v>79</v>
      </c>
      <c r="M17" s="177"/>
      <c r="N17" s="177" t="s">
        <v>874</v>
      </c>
      <c r="O17"/>
      <c r="P17"/>
      <c r="Q17"/>
      <c r="R17"/>
    </row>
    <row r="18" spans="1:18" x14ac:dyDescent="0.35">
      <c r="A18" s="177" t="s">
        <v>1318</v>
      </c>
      <c r="B18" s="177" t="s">
        <v>1274</v>
      </c>
      <c r="C18" s="177" t="s">
        <v>2112</v>
      </c>
      <c r="D18" s="177" t="s">
        <v>1319</v>
      </c>
      <c r="E18" s="177"/>
      <c r="F18" s="177" t="s">
        <v>874</v>
      </c>
      <c r="G18" s="177">
        <v>72412</v>
      </c>
      <c r="H18" s="177"/>
      <c r="I18" s="180">
        <v>45969</v>
      </c>
      <c r="J18" s="177">
        <v>2025</v>
      </c>
      <c r="K18" s="177" t="s">
        <v>78</v>
      </c>
      <c r="L18" s="179" t="s">
        <v>79</v>
      </c>
      <c r="M18" s="177"/>
      <c r="N18" s="177" t="s">
        <v>874</v>
      </c>
      <c r="O18"/>
      <c r="P18"/>
      <c r="Q18"/>
      <c r="R18"/>
    </row>
    <row r="19" spans="1:18" x14ac:dyDescent="0.35">
      <c r="A19" s="177" t="s">
        <v>1320</v>
      </c>
      <c r="B19" s="177" t="s">
        <v>1274</v>
      </c>
      <c r="C19" s="177" t="s">
        <v>2112</v>
      </c>
      <c r="D19" s="177" t="s">
        <v>1321</v>
      </c>
      <c r="E19" s="177"/>
      <c r="F19" s="177" t="s">
        <v>874</v>
      </c>
      <c r="G19" s="177" t="s">
        <v>1322</v>
      </c>
      <c r="H19" s="177"/>
      <c r="I19" s="177" t="s">
        <v>1323</v>
      </c>
      <c r="J19" s="177">
        <v>2018</v>
      </c>
      <c r="K19" s="177" t="s">
        <v>37</v>
      </c>
      <c r="L19" s="178" t="s">
        <v>30</v>
      </c>
      <c r="M19" s="177"/>
      <c r="N19" s="177" t="s">
        <v>874</v>
      </c>
      <c r="O19"/>
      <c r="P19"/>
      <c r="Q19"/>
      <c r="R19"/>
    </row>
    <row r="20" spans="1:18" x14ac:dyDescent="0.35">
      <c r="A20" s="183" t="s">
        <v>2365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/>
      <c r="P20"/>
      <c r="Q20"/>
      <c r="R20"/>
    </row>
    <row r="21" spans="1:18" x14ac:dyDescent="0.35">
      <c r="A21" s="177" t="s">
        <v>1426</v>
      </c>
      <c r="B21" s="177" t="s">
        <v>1274</v>
      </c>
      <c r="C21" s="177" t="s">
        <v>2073</v>
      </c>
      <c r="D21" s="177" t="s">
        <v>1427</v>
      </c>
      <c r="E21" s="177"/>
      <c r="F21" s="177" t="s">
        <v>874</v>
      </c>
      <c r="G21" s="177">
        <v>74117</v>
      </c>
      <c r="H21" s="177"/>
      <c r="I21" s="180">
        <v>46055</v>
      </c>
      <c r="J21" s="177">
        <v>2026</v>
      </c>
      <c r="K21" s="177" t="s">
        <v>78</v>
      </c>
      <c r="L21" s="179" t="s">
        <v>79</v>
      </c>
      <c r="M21" s="177"/>
      <c r="N21" s="177" t="s">
        <v>874</v>
      </c>
      <c r="O21"/>
      <c r="P21"/>
      <c r="Q21"/>
      <c r="R21"/>
    </row>
    <row r="22" spans="1:18" x14ac:dyDescent="0.35">
      <c r="A22" s="177" t="s">
        <v>1397</v>
      </c>
      <c r="B22" s="177" t="s">
        <v>1274</v>
      </c>
      <c r="C22" s="177" t="s">
        <v>2073</v>
      </c>
      <c r="D22" s="177" t="s">
        <v>1398</v>
      </c>
      <c r="E22" s="177"/>
      <c r="F22" s="177" t="s">
        <v>874</v>
      </c>
      <c r="G22" s="177">
        <v>71489</v>
      </c>
      <c r="H22" s="177"/>
      <c r="I22" s="177" t="s">
        <v>1399</v>
      </c>
      <c r="J22" s="177">
        <v>2025</v>
      </c>
      <c r="K22" s="177" t="s">
        <v>78</v>
      </c>
      <c r="L22" s="179" t="s">
        <v>79</v>
      </c>
      <c r="M22" s="177"/>
      <c r="N22" s="177" t="s">
        <v>874</v>
      </c>
      <c r="O22"/>
      <c r="P22"/>
      <c r="Q22"/>
      <c r="R22"/>
    </row>
    <row r="23" spans="1:18" x14ac:dyDescent="0.35">
      <c r="A23" s="177" t="s">
        <v>1434</v>
      </c>
      <c r="B23" s="177" t="s">
        <v>1274</v>
      </c>
      <c r="C23" s="177" t="s">
        <v>2073</v>
      </c>
      <c r="D23" s="177" t="s">
        <v>1435</v>
      </c>
      <c r="E23" s="177"/>
      <c r="F23" s="177" t="s">
        <v>874</v>
      </c>
      <c r="G23" s="177">
        <v>74003</v>
      </c>
      <c r="H23" s="177"/>
      <c r="I23" s="177" t="s">
        <v>1436</v>
      </c>
      <c r="J23" s="177">
        <v>2026</v>
      </c>
      <c r="K23" s="177" t="s">
        <v>78</v>
      </c>
      <c r="L23" s="179" t="s">
        <v>79</v>
      </c>
      <c r="M23" s="177"/>
      <c r="N23" s="177" t="s">
        <v>874</v>
      </c>
      <c r="O23"/>
      <c r="P23"/>
      <c r="Q23"/>
      <c r="R23"/>
    </row>
    <row r="24" spans="1:18" x14ac:dyDescent="0.35">
      <c r="A24" s="177" t="s">
        <v>1400</v>
      </c>
      <c r="B24" s="177" t="s">
        <v>1274</v>
      </c>
      <c r="C24" s="177" t="s">
        <v>2073</v>
      </c>
      <c r="D24" s="177" t="s">
        <v>1401</v>
      </c>
      <c r="E24" s="177"/>
      <c r="F24" s="177" t="s">
        <v>874</v>
      </c>
      <c r="G24" s="177" t="s">
        <v>1402</v>
      </c>
      <c r="H24" s="177"/>
      <c r="I24" s="180">
        <v>44781</v>
      </c>
      <c r="J24" s="177">
        <v>2022</v>
      </c>
      <c r="K24" s="177" t="s">
        <v>78</v>
      </c>
      <c r="L24" s="179" t="s">
        <v>79</v>
      </c>
      <c r="M24" s="177"/>
      <c r="N24" s="177" t="s">
        <v>874</v>
      </c>
      <c r="O24"/>
      <c r="P24"/>
      <c r="Q24"/>
      <c r="R24"/>
    </row>
    <row r="25" spans="1:18" x14ac:dyDescent="0.35">
      <c r="A25" s="183" t="s">
        <v>2366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/>
      <c r="P25"/>
      <c r="Q25"/>
      <c r="R25"/>
    </row>
    <row r="26" spans="1:18" x14ac:dyDescent="0.35">
      <c r="A26" s="177" t="s">
        <v>1339</v>
      </c>
      <c r="B26" s="177" t="s">
        <v>1274</v>
      </c>
      <c r="C26" s="177" t="s">
        <v>2105</v>
      </c>
      <c r="D26" s="177" t="s">
        <v>1340</v>
      </c>
      <c r="E26" s="177"/>
      <c r="F26" s="177" t="s">
        <v>874</v>
      </c>
      <c r="G26" s="177" t="s">
        <v>1341</v>
      </c>
      <c r="H26" s="177"/>
      <c r="I26" s="177" t="s">
        <v>1342</v>
      </c>
      <c r="J26" s="177">
        <v>2025</v>
      </c>
      <c r="K26" s="177" t="s">
        <v>78</v>
      </c>
      <c r="L26" s="179" t="s">
        <v>79</v>
      </c>
      <c r="M26" s="177"/>
      <c r="N26" s="177" t="s">
        <v>874</v>
      </c>
      <c r="O26"/>
      <c r="P26"/>
      <c r="Q26"/>
      <c r="R26"/>
    </row>
    <row r="27" spans="1:18" x14ac:dyDescent="0.35">
      <c r="A27" s="177" t="s">
        <v>1344</v>
      </c>
      <c r="B27" s="177" t="s">
        <v>1274</v>
      </c>
      <c r="C27" s="177" t="s">
        <v>2105</v>
      </c>
      <c r="D27" s="177" t="s">
        <v>1345</v>
      </c>
      <c r="E27" s="177"/>
      <c r="F27" s="177" t="s">
        <v>874</v>
      </c>
      <c r="G27" s="177" t="s">
        <v>1346</v>
      </c>
      <c r="H27" s="177"/>
      <c r="I27" s="180">
        <v>45478</v>
      </c>
      <c r="J27" s="177">
        <v>2024</v>
      </c>
      <c r="K27" s="177" t="s">
        <v>78</v>
      </c>
      <c r="L27" s="179" t="s">
        <v>79</v>
      </c>
      <c r="M27" s="177"/>
      <c r="N27" s="177" t="s">
        <v>874</v>
      </c>
      <c r="O27"/>
      <c r="P27"/>
      <c r="Q27"/>
      <c r="R27"/>
    </row>
    <row r="28" spans="1:18" x14ac:dyDescent="0.35">
      <c r="A28" s="177" t="s">
        <v>1347</v>
      </c>
      <c r="B28" s="177" t="s">
        <v>1274</v>
      </c>
      <c r="C28" s="177" t="s">
        <v>2105</v>
      </c>
      <c r="D28" s="177" t="s">
        <v>1348</v>
      </c>
      <c r="E28" s="177"/>
      <c r="F28" s="177" t="s">
        <v>874</v>
      </c>
      <c r="G28" s="177" t="s">
        <v>1349</v>
      </c>
      <c r="H28" s="177"/>
      <c r="I28" s="177" t="s">
        <v>1350</v>
      </c>
      <c r="J28" s="177">
        <v>2023</v>
      </c>
      <c r="K28" s="177" t="s">
        <v>78</v>
      </c>
      <c r="L28" s="179" t="s">
        <v>79</v>
      </c>
      <c r="M28" s="177"/>
      <c r="N28" s="177" t="s">
        <v>874</v>
      </c>
      <c r="O28"/>
      <c r="P28"/>
      <c r="Q28"/>
      <c r="R28"/>
    </row>
    <row r="29" spans="1:18" x14ac:dyDescent="0.35">
      <c r="A29" s="183" t="s">
        <v>2367</v>
      </c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/>
      <c r="P29"/>
      <c r="Q29"/>
      <c r="R29"/>
    </row>
    <row r="30" spans="1:18" x14ac:dyDescent="0.35">
      <c r="A30" s="177" t="s">
        <v>1417</v>
      </c>
      <c r="B30" s="177" t="s">
        <v>1274</v>
      </c>
      <c r="C30" s="177" t="s">
        <v>2090</v>
      </c>
      <c r="D30" s="177" t="s">
        <v>1418</v>
      </c>
      <c r="E30" s="177"/>
      <c r="F30" s="177" t="s">
        <v>874</v>
      </c>
      <c r="G30" s="177" t="s">
        <v>1419</v>
      </c>
      <c r="H30" s="177"/>
      <c r="I30" s="180">
        <v>45080</v>
      </c>
      <c r="J30" s="177">
        <v>2023</v>
      </c>
      <c r="K30" s="177" t="s">
        <v>106</v>
      </c>
      <c r="L30" s="182" t="s">
        <v>107</v>
      </c>
      <c r="M30" s="177"/>
      <c r="N30" s="177" t="s">
        <v>874</v>
      </c>
      <c r="O30"/>
      <c r="P30"/>
      <c r="Q30"/>
      <c r="R30"/>
    </row>
    <row r="31" spans="1:18" x14ac:dyDescent="0.35">
      <c r="A31" s="183" t="s">
        <v>2368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/>
      <c r="P31"/>
      <c r="Q31"/>
      <c r="R31"/>
    </row>
    <row r="32" spans="1:18" x14ac:dyDescent="0.35">
      <c r="A32" s="177" t="s">
        <v>1379</v>
      </c>
      <c r="B32" s="177" t="s">
        <v>1274</v>
      </c>
      <c r="C32" s="177" t="s">
        <v>2093</v>
      </c>
      <c r="D32" s="177" t="s">
        <v>1380</v>
      </c>
      <c r="E32" s="177"/>
      <c r="F32" s="177" t="s">
        <v>874</v>
      </c>
      <c r="G32" s="177" t="s">
        <v>1381</v>
      </c>
      <c r="H32" s="177"/>
      <c r="I32" s="177" t="s">
        <v>1382</v>
      </c>
      <c r="J32" s="177">
        <v>2023</v>
      </c>
      <c r="K32" s="177" t="s">
        <v>78</v>
      </c>
      <c r="L32" s="179" t="s">
        <v>79</v>
      </c>
      <c r="M32" s="177"/>
      <c r="N32" s="177" t="s">
        <v>874</v>
      </c>
      <c r="O32"/>
      <c r="P32"/>
      <c r="Q32"/>
      <c r="R32"/>
    </row>
    <row r="33" spans="1:18" x14ac:dyDescent="0.35">
      <c r="A33" s="183" t="s">
        <v>2369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/>
      <c r="P33"/>
      <c r="Q33"/>
      <c r="R33"/>
    </row>
    <row r="34" spans="1:18" x14ac:dyDescent="0.35">
      <c r="A34" s="177" t="s">
        <v>1337</v>
      </c>
      <c r="B34" s="177" t="s">
        <v>1274</v>
      </c>
      <c r="C34" s="177" t="s">
        <v>2110</v>
      </c>
      <c r="D34" s="177" t="s">
        <v>1338</v>
      </c>
      <c r="E34" s="177"/>
      <c r="F34" s="177" t="s">
        <v>874</v>
      </c>
      <c r="G34" s="177">
        <v>71353</v>
      </c>
      <c r="H34" s="177"/>
      <c r="I34" s="177"/>
      <c r="J34" s="177"/>
      <c r="K34" s="177" t="s">
        <v>78</v>
      </c>
      <c r="L34" s="179" t="s">
        <v>79</v>
      </c>
      <c r="M34" s="177"/>
      <c r="N34" s="177" t="s">
        <v>874</v>
      </c>
      <c r="O34"/>
      <c r="P34"/>
      <c r="Q34"/>
      <c r="R34"/>
    </row>
    <row r="35" spans="1:18" x14ac:dyDescent="0.35">
      <c r="A35" s="183" t="s">
        <v>1763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/>
      <c r="P35"/>
      <c r="Q35"/>
      <c r="R35"/>
    </row>
    <row r="36" spans="1:18" x14ac:dyDescent="0.35">
      <c r="A36" s="183" t="s">
        <v>2370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/>
      <c r="P36"/>
      <c r="Q36"/>
      <c r="R36"/>
    </row>
    <row r="37" spans="1:18" x14ac:dyDescent="0.35">
      <c r="A37" s="177" t="s">
        <v>1489</v>
      </c>
      <c r="B37" s="177" t="s">
        <v>1451</v>
      </c>
      <c r="C37" s="177" t="s">
        <v>2130</v>
      </c>
      <c r="D37" s="177" t="s">
        <v>1490</v>
      </c>
      <c r="E37" s="177"/>
      <c r="F37" s="177" t="s">
        <v>874</v>
      </c>
      <c r="G37" s="177" t="s">
        <v>1491</v>
      </c>
      <c r="H37" s="177"/>
      <c r="I37" s="180">
        <v>44935</v>
      </c>
      <c r="J37" s="177">
        <v>2023</v>
      </c>
      <c r="K37" s="177" t="s">
        <v>106</v>
      </c>
      <c r="L37" s="182" t="s">
        <v>107</v>
      </c>
      <c r="M37" s="177"/>
      <c r="N37" s="177" t="s">
        <v>874</v>
      </c>
      <c r="O37"/>
      <c r="P37"/>
      <c r="Q37"/>
      <c r="R37"/>
    </row>
    <row r="38" spans="1:18" x14ac:dyDescent="0.35">
      <c r="A38" s="183" t="s">
        <v>2371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/>
      <c r="P38"/>
      <c r="Q38"/>
      <c r="R38"/>
    </row>
    <row r="39" spans="1:18" x14ac:dyDescent="0.35">
      <c r="A39" s="177" t="s">
        <v>1571</v>
      </c>
      <c r="B39" s="177" t="s">
        <v>1451</v>
      </c>
      <c r="C39" s="177" t="s">
        <v>2185</v>
      </c>
      <c r="D39" s="177" t="s">
        <v>1572</v>
      </c>
      <c r="E39" s="177"/>
      <c r="F39" s="177" t="s">
        <v>874</v>
      </c>
      <c r="G39" s="177" t="s">
        <v>1573</v>
      </c>
      <c r="H39" s="177"/>
      <c r="I39" s="180">
        <v>44260</v>
      </c>
      <c r="J39" s="177">
        <v>2021</v>
      </c>
      <c r="K39" s="177" t="s">
        <v>78</v>
      </c>
      <c r="L39" s="179" t="s">
        <v>79</v>
      </c>
      <c r="M39" s="177"/>
      <c r="N39" s="177" t="s">
        <v>874</v>
      </c>
      <c r="O39"/>
      <c r="P39"/>
      <c r="Q39"/>
      <c r="R39"/>
    </row>
    <row r="40" spans="1:18" x14ac:dyDescent="0.35">
      <c r="A40" s="183" t="s">
        <v>1764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/>
      <c r="P40"/>
      <c r="Q40"/>
      <c r="R40"/>
    </row>
    <row r="41" spans="1:18" x14ac:dyDescent="0.35">
      <c r="A41" s="183" t="s">
        <v>2372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/>
      <c r="P41"/>
      <c r="Q41"/>
      <c r="R41"/>
    </row>
    <row r="42" spans="1:18" x14ac:dyDescent="0.35">
      <c r="A42" s="177" t="s">
        <v>1693</v>
      </c>
      <c r="B42" s="177" t="s">
        <v>1617</v>
      </c>
      <c r="C42" s="177" t="s">
        <v>2200</v>
      </c>
      <c r="D42" s="177" t="s">
        <v>1694</v>
      </c>
      <c r="E42" s="177"/>
      <c r="F42" s="177" t="s">
        <v>874</v>
      </c>
      <c r="G42" s="177">
        <v>74158</v>
      </c>
      <c r="H42" s="177"/>
      <c r="I42" s="180">
        <v>46084</v>
      </c>
      <c r="J42" s="177">
        <v>2026</v>
      </c>
      <c r="K42" s="177" t="s">
        <v>78</v>
      </c>
      <c r="L42" s="179" t="s">
        <v>79</v>
      </c>
      <c r="M42" s="177"/>
      <c r="N42" s="177" t="s">
        <v>874</v>
      </c>
      <c r="O42"/>
      <c r="P42"/>
      <c r="Q42"/>
      <c r="R42"/>
    </row>
    <row r="43" spans="1:18" x14ac:dyDescent="0.35">
      <c r="A43" s="177" t="s">
        <v>1632</v>
      </c>
      <c r="B43" s="177" t="s">
        <v>1617</v>
      </c>
      <c r="C43" s="177" t="s">
        <v>2200</v>
      </c>
      <c r="D43" s="177" t="s">
        <v>1633</v>
      </c>
      <c r="E43" s="177"/>
      <c r="F43" s="177" t="s">
        <v>874</v>
      </c>
      <c r="G43" s="177">
        <v>72833</v>
      </c>
      <c r="H43" s="177"/>
      <c r="I43" s="177" t="s">
        <v>1634</v>
      </c>
      <c r="J43" s="177">
        <v>2025</v>
      </c>
      <c r="K43" s="177" t="s">
        <v>78</v>
      </c>
      <c r="L43" s="179" t="s">
        <v>79</v>
      </c>
      <c r="M43" s="177"/>
      <c r="N43" s="177" t="s">
        <v>874</v>
      </c>
      <c r="O43"/>
      <c r="P43"/>
      <c r="Q43"/>
      <c r="R43"/>
    </row>
    <row r="44" spans="1:18" x14ac:dyDescent="0.35">
      <c r="A44" s="177" t="s">
        <v>1638</v>
      </c>
      <c r="B44" s="177" t="s">
        <v>1617</v>
      </c>
      <c r="C44" s="177" t="s">
        <v>2200</v>
      </c>
      <c r="D44" s="177" t="s">
        <v>1639</v>
      </c>
      <c r="E44" s="177"/>
      <c r="F44" s="177" t="s">
        <v>874</v>
      </c>
      <c r="G44" s="177">
        <v>72830</v>
      </c>
      <c r="H44" s="177"/>
      <c r="I44" s="177" t="s">
        <v>1640</v>
      </c>
      <c r="J44" s="177">
        <v>2025</v>
      </c>
      <c r="K44" s="177" t="s">
        <v>78</v>
      </c>
      <c r="L44" s="179" t="s">
        <v>79</v>
      </c>
      <c r="M44" s="177"/>
      <c r="N44" s="177" t="s">
        <v>874</v>
      </c>
      <c r="O44"/>
      <c r="P44"/>
      <c r="Q44"/>
      <c r="R44"/>
    </row>
    <row r="45" spans="1:18" x14ac:dyDescent="0.35">
      <c r="A45" s="177" t="s">
        <v>1641</v>
      </c>
      <c r="B45" s="177" t="s">
        <v>1617</v>
      </c>
      <c r="C45" s="177" t="s">
        <v>2200</v>
      </c>
      <c r="D45" s="177" t="s">
        <v>1642</v>
      </c>
      <c r="E45" s="177"/>
      <c r="F45" s="177" t="s">
        <v>874</v>
      </c>
      <c r="G45" s="177" t="s">
        <v>1643</v>
      </c>
      <c r="H45" s="177"/>
      <c r="I45" s="180">
        <v>44899</v>
      </c>
      <c r="J45" s="177">
        <v>2022</v>
      </c>
      <c r="K45" s="177" t="s">
        <v>106</v>
      </c>
      <c r="L45" s="182" t="s">
        <v>107</v>
      </c>
      <c r="M45" s="177"/>
      <c r="N45" s="177" t="s">
        <v>874</v>
      </c>
      <c r="O45"/>
      <c r="P45"/>
      <c r="Q45"/>
      <c r="R45"/>
    </row>
    <row r="46" spans="1:18" x14ac:dyDescent="0.35">
      <c r="A46" s="183" t="s">
        <v>2373</v>
      </c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/>
      <c r="P46"/>
      <c r="Q46"/>
      <c r="R46"/>
    </row>
    <row r="47" spans="1:18" x14ac:dyDescent="0.35">
      <c r="A47" s="177" t="s">
        <v>1682</v>
      </c>
      <c r="B47" s="177" t="s">
        <v>1617</v>
      </c>
      <c r="C47" s="177" t="s">
        <v>2198</v>
      </c>
      <c r="D47" s="177" t="s">
        <v>1683</v>
      </c>
      <c r="E47" s="177"/>
      <c r="F47" s="177" t="s">
        <v>874</v>
      </c>
      <c r="G47" s="177">
        <v>71513</v>
      </c>
      <c r="H47" s="177"/>
      <c r="I47" s="177" t="s">
        <v>1684</v>
      </c>
      <c r="J47" s="177">
        <v>2025</v>
      </c>
      <c r="K47" s="177" t="s">
        <v>78</v>
      </c>
      <c r="L47" s="179" t="s">
        <v>79</v>
      </c>
      <c r="M47" s="177"/>
      <c r="N47" s="177" t="s">
        <v>874</v>
      </c>
      <c r="O47"/>
      <c r="P47"/>
      <c r="Q47"/>
      <c r="R47"/>
    </row>
    <row r="48" spans="1:18" x14ac:dyDescent="0.35">
      <c r="A48" s="177" t="s">
        <v>1686</v>
      </c>
      <c r="B48" s="177" t="s">
        <v>1617</v>
      </c>
      <c r="C48" s="177" t="s">
        <v>2198</v>
      </c>
      <c r="D48" s="177" t="s">
        <v>1687</v>
      </c>
      <c r="E48" s="177"/>
      <c r="F48" s="177" t="s">
        <v>874</v>
      </c>
      <c r="G48" s="177" t="s">
        <v>1688</v>
      </c>
      <c r="H48" s="177"/>
      <c r="I48" s="177" t="s">
        <v>1689</v>
      </c>
      <c r="J48" s="177">
        <v>2024</v>
      </c>
      <c r="K48" s="177" t="s">
        <v>78</v>
      </c>
      <c r="L48" s="179" t="s">
        <v>79</v>
      </c>
      <c r="M48" s="177"/>
      <c r="N48" s="177" t="s">
        <v>874</v>
      </c>
      <c r="O48"/>
      <c r="P48"/>
      <c r="Q48"/>
      <c r="R48"/>
    </row>
    <row r="49" spans="1:18" x14ac:dyDescent="0.35">
      <c r="A49" s="183" t="s">
        <v>2374</v>
      </c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/>
      <c r="P49"/>
      <c r="Q49"/>
      <c r="R49"/>
    </row>
    <row r="50" spans="1:18" x14ac:dyDescent="0.35">
      <c r="A50" s="177" t="s">
        <v>1635</v>
      </c>
      <c r="B50" s="177" t="s">
        <v>1617</v>
      </c>
      <c r="C50" s="177" t="s">
        <v>2225</v>
      </c>
      <c r="D50" s="177" t="s">
        <v>1636</v>
      </c>
      <c r="E50" s="177"/>
      <c r="F50" s="177" t="s">
        <v>874</v>
      </c>
      <c r="G50" s="177" t="s">
        <v>1637</v>
      </c>
      <c r="H50" s="177"/>
      <c r="I50" s="180">
        <v>45994</v>
      </c>
      <c r="J50" s="177">
        <v>2025</v>
      </c>
      <c r="K50" s="177" t="s">
        <v>78</v>
      </c>
      <c r="L50" s="179" t="s">
        <v>79</v>
      </c>
      <c r="M50" s="177"/>
      <c r="N50" s="177" t="s">
        <v>874</v>
      </c>
      <c r="O50"/>
      <c r="P50"/>
      <c r="Q50"/>
      <c r="R50"/>
    </row>
    <row r="51" spans="1:18" x14ac:dyDescent="0.35">
      <c r="A51" s="177" t="s">
        <v>1705</v>
      </c>
      <c r="B51" s="177" t="s">
        <v>1617</v>
      </c>
      <c r="C51" s="177" t="s">
        <v>2225</v>
      </c>
      <c r="D51" s="177" t="s">
        <v>1706</v>
      </c>
      <c r="E51" s="177"/>
      <c r="F51" s="177" t="s">
        <v>874</v>
      </c>
      <c r="G51" s="177" t="s">
        <v>1707</v>
      </c>
      <c r="H51" s="177"/>
      <c r="I51" s="177" t="s">
        <v>1708</v>
      </c>
      <c r="J51" s="177">
        <v>2023</v>
      </c>
      <c r="K51" s="177" t="s">
        <v>106</v>
      </c>
      <c r="L51" s="182" t="s">
        <v>107</v>
      </c>
      <c r="M51" s="177"/>
      <c r="N51" s="177" t="s">
        <v>874</v>
      </c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00"/>
  <sheetViews>
    <sheetView showGridLines="0" zoomScale="50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9.1796875" style="19" bestFit="1" customWidth="1"/>
    <col min="2" max="2" width="52" style="19" bestFit="1" customWidth="1"/>
    <col min="3" max="3" width="70.90625" style="19" bestFit="1" customWidth="1"/>
    <col min="4" max="4" width="186.8164062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37.453125" style="19" bestFit="1" customWidth="1"/>
    <col min="17" max="17" width="25.90625" style="19" bestFit="1" customWidth="1"/>
    <col min="18" max="18" width="20.36328125" style="19" bestFit="1" customWidth="1"/>
    <col min="19" max="16384" width="8.90625" style="19"/>
  </cols>
  <sheetData>
    <row r="1" spans="1:18" x14ac:dyDescent="0.35">
      <c r="A1" s="284" t="s">
        <v>1737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1765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2375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244</v>
      </c>
      <c r="B5" s="177" t="s">
        <v>19</v>
      </c>
      <c r="C5" s="177" t="s">
        <v>1885</v>
      </c>
      <c r="D5" s="177" t="s">
        <v>245</v>
      </c>
      <c r="E5" s="177"/>
      <c r="F5" s="177" t="s">
        <v>76</v>
      </c>
      <c r="G5" s="177" t="s">
        <v>246</v>
      </c>
      <c r="H5" s="177"/>
      <c r="I5" s="177" t="s">
        <v>247</v>
      </c>
      <c r="J5" s="177">
        <v>2022</v>
      </c>
      <c r="K5" s="177" t="s">
        <v>78</v>
      </c>
      <c r="L5" s="179" t="s">
        <v>79</v>
      </c>
      <c r="M5" s="177"/>
      <c r="N5" s="177" t="s">
        <v>76</v>
      </c>
      <c r="O5"/>
      <c r="P5"/>
      <c r="Q5"/>
      <c r="R5"/>
    </row>
    <row r="6" spans="1:18" x14ac:dyDescent="0.35">
      <c r="A6" s="177" t="s">
        <v>257</v>
      </c>
      <c r="B6" s="177" t="s">
        <v>19</v>
      </c>
      <c r="C6" s="177" t="s">
        <v>1885</v>
      </c>
      <c r="D6" s="177" t="s">
        <v>258</v>
      </c>
      <c r="E6" s="177"/>
      <c r="F6" s="177" t="s">
        <v>76</v>
      </c>
      <c r="G6" s="177" t="s">
        <v>259</v>
      </c>
      <c r="H6" s="177"/>
      <c r="I6" s="177" t="s">
        <v>260</v>
      </c>
      <c r="J6" s="177">
        <v>2022</v>
      </c>
      <c r="K6" s="177" t="s">
        <v>106</v>
      </c>
      <c r="L6" s="182" t="s">
        <v>107</v>
      </c>
      <c r="M6" s="177"/>
      <c r="N6" s="177" t="s">
        <v>76</v>
      </c>
      <c r="O6"/>
      <c r="P6"/>
      <c r="Q6"/>
      <c r="R6"/>
    </row>
    <row r="7" spans="1:18" x14ac:dyDescent="0.35">
      <c r="A7" s="183" t="s">
        <v>2376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/>
      <c r="P7"/>
      <c r="Q7"/>
      <c r="R7"/>
    </row>
    <row r="8" spans="1:18" x14ac:dyDescent="0.35">
      <c r="A8" s="177" t="s">
        <v>469</v>
      </c>
      <c r="B8" s="177" t="s">
        <v>19</v>
      </c>
      <c r="C8" s="177" t="s">
        <v>1903</v>
      </c>
      <c r="D8" s="177" t="s">
        <v>470</v>
      </c>
      <c r="E8" s="177"/>
      <c r="F8" s="177" t="s">
        <v>76</v>
      </c>
      <c r="G8" s="177">
        <v>74060</v>
      </c>
      <c r="H8" s="177"/>
      <c r="I8" s="177" t="s">
        <v>471</v>
      </c>
      <c r="J8" s="177">
        <v>2026</v>
      </c>
      <c r="K8" s="177" t="s">
        <v>78</v>
      </c>
      <c r="L8" s="179" t="s">
        <v>79</v>
      </c>
      <c r="M8" s="177"/>
      <c r="N8" s="177" t="s">
        <v>76</v>
      </c>
      <c r="O8"/>
      <c r="P8"/>
      <c r="Q8"/>
      <c r="R8"/>
    </row>
    <row r="9" spans="1:18" x14ac:dyDescent="0.35">
      <c r="A9" s="177" t="s">
        <v>74</v>
      </c>
      <c r="B9" s="177" t="s">
        <v>19</v>
      </c>
      <c r="C9" s="177" t="s">
        <v>1903</v>
      </c>
      <c r="D9" s="177" t="s">
        <v>75</v>
      </c>
      <c r="E9" s="177"/>
      <c r="F9" s="177" t="s">
        <v>76</v>
      </c>
      <c r="G9" s="177" t="s">
        <v>77</v>
      </c>
      <c r="H9" s="177"/>
      <c r="I9" s="180">
        <v>44381</v>
      </c>
      <c r="J9" s="177">
        <v>2021</v>
      </c>
      <c r="K9" s="177" t="s">
        <v>78</v>
      </c>
      <c r="L9" s="179" t="s">
        <v>79</v>
      </c>
      <c r="M9" s="177"/>
      <c r="N9" s="177" t="s">
        <v>76</v>
      </c>
      <c r="O9"/>
      <c r="P9"/>
      <c r="Q9"/>
      <c r="R9"/>
    </row>
    <row r="10" spans="1:18" x14ac:dyDescent="0.35">
      <c r="A10" s="183" t="s">
        <v>1766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/>
      <c r="P10"/>
      <c r="Q10"/>
      <c r="R10"/>
    </row>
    <row r="11" spans="1:18" x14ac:dyDescent="0.35">
      <c r="A11" s="183" t="s">
        <v>2363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/>
      <c r="P11"/>
      <c r="Q11"/>
      <c r="R11"/>
    </row>
    <row r="12" spans="1:18" x14ac:dyDescent="0.35">
      <c r="A12" s="177" t="s">
        <v>904</v>
      </c>
      <c r="B12" s="177" t="s">
        <v>831</v>
      </c>
      <c r="C12" s="177" t="s">
        <v>2060</v>
      </c>
      <c r="D12" s="177" t="s">
        <v>905</v>
      </c>
      <c r="E12" s="177"/>
      <c r="F12" s="177" t="s">
        <v>76</v>
      </c>
      <c r="G12" s="177">
        <v>74005</v>
      </c>
      <c r="H12" s="177"/>
      <c r="I12" s="177" t="s">
        <v>906</v>
      </c>
      <c r="J12" s="177">
        <v>2026</v>
      </c>
      <c r="K12" s="177" t="s">
        <v>78</v>
      </c>
      <c r="L12" s="179" t="s">
        <v>79</v>
      </c>
      <c r="M12" s="177"/>
      <c r="N12" s="177" t="s">
        <v>76</v>
      </c>
      <c r="O12"/>
      <c r="P12"/>
      <c r="Q12"/>
      <c r="R12"/>
    </row>
    <row r="13" spans="1:18" x14ac:dyDescent="0.35">
      <c r="A13" s="183" t="s">
        <v>2346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/>
      <c r="P13"/>
      <c r="Q13"/>
      <c r="R13"/>
    </row>
    <row r="14" spans="1:18" x14ac:dyDescent="0.35">
      <c r="A14" s="177" t="s">
        <v>899</v>
      </c>
      <c r="B14" s="177" t="s">
        <v>831</v>
      </c>
      <c r="C14" s="177" t="s">
        <v>2065</v>
      </c>
      <c r="D14" s="177" t="s">
        <v>900</v>
      </c>
      <c r="E14" s="177"/>
      <c r="F14" s="177" t="s">
        <v>76</v>
      </c>
      <c r="G14" s="177" t="s">
        <v>901</v>
      </c>
      <c r="H14" s="177"/>
      <c r="I14" s="177" t="s">
        <v>902</v>
      </c>
      <c r="J14" s="177">
        <v>2022</v>
      </c>
      <c r="K14" s="177" t="s">
        <v>106</v>
      </c>
      <c r="L14" s="182" t="s">
        <v>107</v>
      </c>
      <c r="M14" s="177"/>
      <c r="N14" s="177" t="s">
        <v>76</v>
      </c>
      <c r="O14"/>
      <c r="P14"/>
      <c r="Q14"/>
      <c r="R14"/>
    </row>
    <row r="15" spans="1:18" x14ac:dyDescent="0.35">
      <c r="A15" s="183" t="s">
        <v>1767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/>
      <c r="P15"/>
      <c r="Q15"/>
      <c r="R15"/>
    </row>
    <row r="16" spans="1:18" x14ac:dyDescent="0.35">
      <c r="A16" s="183" t="s">
        <v>2370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/>
      <c r="P16"/>
      <c r="Q16"/>
      <c r="R16"/>
    </row>
    <row r="17" spans="1:18" x14ac:dyDescent="0.35">
      <c r="A17" s="177" t="s">
        <v>1473</v>
      </c>
      <c r="B17" s="177" t="s">
        <v>1451</v>
      </c>
      <c r="C17" s="177" t="s">
        <v>2130</v>
      </c>
      <c r="D17" s="177" t="s">
        <v>1474</v>
      </c>
      <c r="E17" s="177"/>
      <c r="F17" s="177" t="s">
        <v>76</v>
      </c>
      <c r="G17" s="177" t="s">
        <v>1475</v>
      </c>
      <c r="H17" s="177"/>
      <c r="I17" s="180">
        <v>45692</v>
      </c>
      <c r="J17" s="177">
        <v>2025</v>
      </c>
      <c r="K17" s="177" t="s">
        <v>78</v>
      </c>
      <c r="L17" s="179" t="s">
        <v>79</v>
      </c>
      <c r="M17" s="177"/>
      <c r="N17" s="177" t="s">
        <v>76</v>
      </c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00"/>
  <sheetViews>
    <sheetView showGridLines="0" zoomScale="53" workbookViewId="0">
      <pane ySplit="2" topLeftCell="A10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121.36328125" style="19" bestFit="1" customWidth="1"/>
    <col min="2" max="2" width="57.54296875" style="19" bestFit="1" customWidth="1"/>
    <col min="3" max="3" width="77.453125" style="19" bestFit="1" customWidth="1"/>
    <col min="4" max="4" width="255.81640625" style="19" bestFit="1" customWidth="1"/>
    <col min="5" max="5" width="33.453125" style="19" bestFit="1" customWidth="1"/>
    <col min="6" max="6" width="34.90625" style="19" bestFit="1" customWidth="1"/>
    <col min="7" max="7" width="25.6328125" style="19" bestFit="1" customWidth="1"/>
    <col min="8" max="8" width="28.08984375" style="19" bestFit="1" customWidth="1"/>
    <col min="9" max="9" width="25.6328125" style="19" bestFit="1" customWidth="1"/>
    <col min="10" max="10" width="12.6328125" style="19" bestFit="1" customWidth="1"/>
    <col min="11" max="11" width="27.08984375" style="19" bestFit="1" customWidth="1"/>
    <col min="12" max="12" width="40.6328125" style="19" bestFit="1" customWidth="1"/>
    <col min="13" max="13" width="31.54296875" style="19" bestFit="1" customWidth="1"/>
    <col min="14" max="14" width="39.816406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39.54296875" style="19" bestFit="1" customWidth="1"/>
    <col min="19" max="16384" width="8.90625" style="19"/>
  </cols>
  <sheetData>
    <row r="1" spans="1:18" x14ac:dyDescent="0.35">
      <c r="A1" s="284" t="s">
        <v>1738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1768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2377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411</v>
      </c>
      <c r="B5" s="177" t="s">
        <v>19</v>
      </c>
      <c r="C5" s="177" t="s">
        <v>1926</v>
      </c>
      <c r="D5" s="177" t="s">
        <v>412</v>
      </c>
      <c r="E5" s="177"/>
      <c r="F5" s="177" t="s">
        <v>413</v>
      </c>
      <c r="G5" s="177">
        <v>71780</v>
      </c>
      <c r="H5" s="177"/>
      <c r="I5" s="180">
        <v>45694</v>
      </c>
      <c r="J5" s="177">
        <v>2025</v>
      </c>
      <c r="K5" s="177" t="s">
        <v>78</v>
      </c>
      <c r="L5" s="179" t="s">
        <v>79</v>
      </c>
      <c r="M5" s="177"/>
      <c r="N5" s="177" t="s">
        <v>413</v>
      </c>
      <c r="O5"/>
      <c r="P5"/>
      <c r="Q5"/>
      <c r="R5"/>
    </row>
    <row r="6" spans="1:18" x14ac:dyDescent="0.35">
      <c r="A6" s="183" t="s">
        <v>1769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/>
      <c r="P6"/>
      <c r="Q6"/>
      <c r="R6"/>
    </row>
    <row r="7" spans="1:18" x14ac:dyDescent="0.35">
      <c r="A7" s="183" t="s">
        <v>2378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/>
      <c r="P7"/>
      <c r="Q7"/>
      <c r="R7"/>
    </row>
    <row r="8" spans="1:18" x14ac:dyDescent="0.35">
      <c r="A8" s="177" t="s">
        <v>1136</v>
      </c>
      <c r="B8" s="177" t="s">
        <v>831</v>
      </c>
      <c r="C8" s="177" t="s">
        <v>2031</v>
      </c>
      <c r="D8" s="177" t="s">
        <v>1137</v>
      </c>
      <c r="E8" s="177"/>
      <c r="F8" s="177" t="s">
        <v>413</v>
      </c>
      <c r="G8" s="177">
        <v>73614</v>
      </c>
      <c r="H8" s="177"/>
      <c r="I8" s="180">
        <v>45881</v>
      </c>
      <c r="J8" s="177">
        <v>2025</v>
      </c>
      <c r="K8" s="177" t="s">
        <v>78</v>
      </c>
      <c r="L8" s="179" t="s">
        <v>79</v>
      </c>
      <c r="M8" s="177"/>
      <c r="N8" s="177" t="s">
        <v>413</v>
      </c>
      <c r="O8"/>
      <c r="P8"/>
      <c r="Q8"/>
      <c r="R8"/>
    </row>
    <row r="9" spans="1:18" x14ac:dyDescent="0.35">
      <c r="A9" s="183" t="s">
        <v>2379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/>
      <c r="P9"/>
      <c r="Q9"/>
      <c r="R9"/>
    </row>
    <row r="10" spans="1:18" x14ac:dyDescent="0.35">
      <c r="A10" s="177" t="s">
        <v>1227</v>
      </c>
      <c r="B10" s="177" t="s">
        <v>831</v>
      </c>
      <c r="C10" s="177" t="s">
        <v>2055</v>
      </c>
      <c r="D10" s="177" t="s">
        <v>1228</v>
      </c>
      <c r="E10" s="177"/>
      <c r="F10" s="177" t="s">
        <v>413</v>
      </c>
      <c r="G10" s="177" t="s">
        <v>1229</v>
      </c>
      <c r="H10" s="177"/>
      <c r="I10" s="180">
        <v>45749</v>
      </c>
      <c r="J10" s="177">
        <v>2025</v>
      </c>
      <c r="K10" s="177" t="s">
        <v>78</v>
      </c>
      <c r="L10" s="179" t="s">
        <v>79</v>
      </c>
      <c r="M10" s="177"/>
      <c r="N10" s="177" t="s">
        <v>413</v>
      </c>
      <c r="O10"/>
      <c r="P10"/>
      <c r="Q10"/>
      <c r="R10"/>
    </row>
    <row r="11" spans="1:18" x14ac:dyDescent="0.35">
      <c r="A11" s="183" t="s">
        <v>2346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/>
      <c r="P11"/>
      <c r="Q11"/>
      <c r="R11"/>
    </row>
    <row r="12" spans="1:18" x14ac:dyDescent="0.35">
      <c r="A12" s="177" t="s">
        <v>962</v>
      </c>
      <c r="B12" s="177" t="s">
        <v>831</v>
      </c>
      <c r="C12" s="177" t="s">
        <v>2065</v>
      </c>
      <c r="D12" s="177" t="s">
        <v>963</v>
      </c>
      <c r="E12" s="177"/>
      <c r="F12" s="177" t="s">
        <v>413</v>
      </c>
      <c r="G12" s="177" t="s">
        <v>964</v>
      </c>
      <c r="H12" s="177"/>
      <c r="I12" s="177" t="s">
        <v>965</v>
      </c>
      <c r="J12" s="177">
        <v>2023</v>
      </c>
      <c r="K12" s="177" t="s">
        <v>106</v>
      </c>
      <c r="L12" s="182" t="s">
        <v>107</v>
      </c>
      <c r="M12" s="177"/>
      <c r="N12" s="177" t="s">
        <v>413</v>
      </c>
      <c r="O12"/>
      <c r="P12"/>
      <c r="Q12"/>
      <c r="R12"/>
    </row>
    <row r="13" spans="1:18" x14ac:dyDescent="0.35">
      <c r="A13" s="183" t="s">
        <v>1770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/>
      <c r="P13"/>
      <c r="Q13"/>
      <c r="R13"/>
    </row>
    <row r="14" spans="1:18" x14ac:dyDescent="0.35">
      <c r="A14" s="183" t="s">
        <v>2367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/>
      <c r="P14"/>
      <c r="Q14"/>
      <c r="R14"/>
    </row>
    <row r="15" spans="1:18" x14ac:dyDescent="0.35">
      <c r="A15" s="177" t="s">
        <v>1446</v>
      </c>
      <c r="B15" s="177" t="s">
        <v>1274</v>
      </c>
      <c r="C15" s="177" t="s">
        <v>2090</v>
      </c>
      <c r="D15" s="177" t="s">
        <v>1447</v>
      </c>
      <c r="E15" s="177"/>
      <c r="F15" s="177" t="s">
        <v>413</v>
      </c>
      <c r="G15" s="177">
        <v>68135</v>
      </c>
      <c r="H15" s="177"/>
      <c r="I15" s="177" t="s">
        <v>1448</v>
      </c>
      <c r="J15" s="177">
        <v>2024</v>
      </c>
      <c r="K15" s="177" t="s">
        <v>78</v>
      </c>
      <c r="L15" s="179" t="s">
        <v>79</v>
      </c>
      <c r="M15" s="177"/>
      <c r="N15" s="177" t="s">
        <v>413</v>
      </c>
      <c r="O15"/>
      <c r="P15"/>
      <c r="Q15"/>
      <c r="R15"/>
    </row>
    <row r="16" spans="1:18" x14ac:dyDescent="0.35">
      <c r="A16" s="183" t="s">
        <v>2380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/>
      <c r="P16"/>
      <c r="Q16"/>
      <c r="R16"/>
    </row>
    <row r="17" spans="1:18" x14ac:dyDescent="0.35">
      <c r="A17" s="177" t="s">
        <v>1352</v>
      </c>
      <c r="B17" s="177" t="s">
        <v>1274</v>
      </c>
      <c r="C17" s="177" t="s">
        <v>2107</v>
      </c>
      <c r="D17" s="177" t="s">
        <v>1353</v>
      </c>
      <c r="E17" s="177"/>
      <c r="F17" s="177" t="s">
        <v>413</v>
      </c>
      <c r="G17" s="177" t="s">
        <v>1354</v>
      </c>
      <c r="H17" s="177"/>
      <c r="I17" s="180">
        <v>45078</v>
      </c>
      <c r="J17" s="177">
        <v>2023</v>
      </c>
      <c r="K17" s="177" t="s">
        <v>106</v>
      </c>
      <c r="L17" s="182" t="s">
        <v>107</v>
      </c>
      <c r="M17" s="177"/>
      <c r="N17" s="177" t="s">
        <v>413</v>
      </c>
      <c r="O17"/>
      <c r="P17"/>
      <c r="Q17"/>
      <c r="R17"/>
    </row>
    <row r="18" spans="1:18" x14ac:dyDescent="0.35">
      <c r="A18" s="183" t="s">
        <v>2350</v>
      </c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/>
      <c r="P18"/>
      <c r="Q18"/>
      <c r="R18"/>
    </row>
    <row r="19" spans="1:18" x14ac:dyDescent="0.35">
      <c r="A19" s="177" t="s">
        <v>1310</v>
      </c>
      <c r="B19" s="177" t="s">
        <v>1274</v>
      </c>
      <c r="C19" s="177" t="s">
        <v>2112</v>
      </c>
      <c r="D19" s="177" t="s">
        <v>1311</v>
      </c>
      <c r="E19" s="177"/>
      <c r="F19" s="177" t="s">
        <v>413</v>
      </c>
      <c r="G19" s="177" t="s">
        <v>1312</v>
      </c>
      <c r="H19" s="177"/>
      <c r="I19" s="177" t="s">
        <v>1313</v>
      </c>
      <c r="J19" s="177">
        <v>2024</v>
      </c>
      <c r="K19" s="177" t="s">
        <v>106</v>
      </c>
      <c r="L19" s="182" t="s">
        <v>107</v>
      </c>
      <c r="M19" s="177"/>
      <c r="N19" s="177" t="s">
        <v>413</v>
      </c>
      <c r="O19"/>
      <c r="P19"/>
      <c r="Q19"/>
      <c r="R19"/>
    </row>
    <row r="20" spans="1:18" x14ac:dyDescent="0.35">
      <c r="A20" s="183" t="s">
        <v>1767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/>
      <c r="P20"/>
      <c r="Q20"/>
      <c r="R20"/>
    </row>
    <row r="21" spans="1:18" x14ac:dyDescent="0.35">
      <c r="A21" s="183" t="s">
        <v>2381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/>
      <c r="P21"/>
      <c r="Q21"/>
      <c r="R21"/>
    </row>
    <row r="22" spans="1:18" x14ac:dyDescent="0.35">
      <c r="A22" s="177" t="s">
        <v>1613</v>
      </c>
      <c r="B22" s="177" t="s">
        <v>1451</v>
      </c>
      <c r="C22" s="177" t="s">
        <v>2140</v>
      </c>
      <c r="D22" s="177" t="s">
        <v>1614</v>
      </c>
      <c r="E22" s="177"/>
      <c r="F22" s="177" t="s">
        <v>413</v>
      </c>
      <c r="G22" s="177">
        <v>72323</v>
      </c>
      <c r="H22" s="177"/>
      <c r="I22" s="177" t="s">
        <v>1615</v>
      </c>
      <c r="J22" s="177">
        <v>2025</v>
      </c>
      <c r="K22" s="177" t="s">
        <v>78</v>
      </c>
      <c r="L22" s="179" t="s">
        <v>79</v>
      </c>
      <c r="M22" s="177"/>
      <c r="N22" s="177" t="s">
        <v>413</v>
      </c>
      <c r="O22"/>
      <c r="P22"/>
      <c r="Q22"/>
      <c r="R22"/>
    </row>
    <row r="23" spans="1:18" x14ac:dyDescent="0.35">
      <c r="A23" s="183" t="s">
        <v>1771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/>
      <c r="P23"/>
      <c r="Q23"/>
      <c r="R23"/>
    </row>
    <row r="24" spans="1:18" x14ac:dyDescent="0.35">
      <c r="A24" s="183" t="s">
        <v>2382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/>
      <c r="P24"/>
      <c r="Q24"/>
      <c r="R24"/>
    </row>
    <row r="25" spans="1:18" x14ac:dyDescent="0.35">
      <c r="A25" s="177" t="s">
        <v>1627</v>
      </c>
      <c r="B25" s="177" t="s">
        <v>1617</v>
      </c>
      <c r="C25" s="177" t="s">
        <v>2200</v>
      </c>
      <c r="D25" s="177" t="s">
        <v>1628</v>
      </c>
      <c r="E25" s="177"/>
      <c r="F25" s="177" t="s">
        <v>413</v>
      </c>
      <c r="G25" s="177">
        <v>73609</v>
      </c>
      <c r="H25" s="177"/>
      <c r="I25" s="180">
        <v>45789</v>
      </c>
      <c r="J25" s="177">
        <v>2025</v>
      </c>
      <c r="K25" s="177" t="s">
        <v>78</v>
      </c>
      <c r="L25" s="179" t="s">
        <v>79</v>
      </c>
      <c r="M25" s="177"/>
      <c r="N25" s="177" t="s">
        <v>413</v>
      </c>
      <c r="O25"/>
      <c r="P25"/>
      <c r="Q25"/>
      <c r="R25"/>
    </row>
    <row r="26" spans="1:18" x14ac:dyDescent="0.35">
      <c r="A26" s="177" t="s">
        <v>1710</v>
      </c>
      <c r="B26" s="177" t="s">
        <v>1617</v>
      </c>
      <c r="C26" s="177" t="s">
        <v>2200</v>
      </c>
      <c r="D26" s="177" t="s">
        <v>1711</v>
      </c>
      <c r="E26" s="177"/>
      <c r="F26" s="177" t="s">
        <v>413</v>
      </c>
      <c r="G26" s="177">
        <v>74149</v>
      </c>
      <c r="H26" s="177"/>
      <c r="I26" s="177" t="s">
        <v>1712</v>
      </c>
      <c r="J26" s="177">
        <v>2026</v>
      </c>
      <c r="K26" s="177" t="s">
        <v>78</v>
      </c>
      <c r="L26" s="179" t="s">
        <v>79</v>
      </c>
      <c r="M26" s="177"/>
      <c r="N26" s="177" t="s">
        <v>413</v>
      </c>
      <c r="O26"/>
      <c r="P26"/>
      <c r="Q26"/>
      <c r="R26"/>
    </row>
    <row r="27" spans="1:18" x14ac:dyDescent="0.35">
      <c r="A27" s="183" t="s">
        <v>2383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/>
      <c r="P27"/>
      <c r="Q27"/>
      <c r="R27"/>
    </row>
    <row r="28" spans="1:18" x14ac:dyDescent="0.35">
      <c r="A28" s="177" t="s">
        <v>1679</v>
      </c>
      <c r="B28" s="177" t="s">
        <v>1617</v>
      </c>
      <c r="C28" s="177" t="s">
        <v>2213</v>
      </c>
      <c r="D28" s="177" t="s">
        <v>1680</v>
      </c>
      <c r="E28" s="177"/>
      <c r="F28" s="177" t="s">
        <v>413</v>
      </c>
      <c r="G28" s="177">
        <v>73999</v>
      </c>
      <c r="H28" s="177"/>
      <c r="I28" s="177" t="s">
        <v>1681</v>
      </c>
      <c r="J28" s="177">
        <v>2026</v>
      </c>
      <c r="K28" s="177" t="s">
        <v>78</v>
      </c>
      <c r="L28" s="179" t="s">
        <v>79</v>
      </c>
      <c r="M28" s="177"/>
      <c r="N28" s="177" t="s">
        <v>413</v>
      </c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0"/>
  <sheetViews>
    <sheetView showGridLines="0" zoomScale="76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82.08984375" style="19" bestFit="1" customWidth="1"/>
    <col min="2" max="2" width="52.453125" style="19" bestFit="1" customWidth="1"/>
    <col min="3" max="3" width="74.1796875" style="19" bestFit="1" customWidth="1"/>
    <col min="4" max="4" width="20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39.54296875" style="19" bestFit="1" customWidth="1"/>
    <col min="19" max="16384" width="8.90625" style="19"/>
  </cols>
  <sheetData>
    <row r="1" spans="1:18" x14ac:dyDescent="0.35">
      <c r="A1" s="284" t="s">
        <v>1739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1772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2384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417</v>
      </c>
      <c r="B5" s="177" t="s">
        <v>19</v>
      </c>
      <c r="C5" s="177" t="s">
        <v>1827</v>
      </c>
      <c r="D5" s="177" t="s">
        <v>418</v>
      </c>
      <c r="E5" s="177"/>
      <c r="F5" s="177" t="s">
        <v>419</v>
      </c>
      <c r="G5" s="177">
        <v>72298</v>
      </c>
      <c r="H5" s="177"/>
      <c r="I5" s="177" t="s">
        <v>420</v>
      </c>
      <c r="J5" s="177">
        <v>2025</v>
      </c>
      <c r="K5" s="177" t="s">
        <v>78</v>
      </c>
      <c r="L5" s="179" t="s">
        <v>79</v>
      </c>
      <c r="M5" s="177"/>
      <c r="N5" s="177" t="s">
        <v>419</v>
      </c>
      <c r="O5"/>
      <c r="P5"/>
      <c r="Q5"/>
      <c r="R5"/>
    </row>
    <row r="6" spans="1:18" x14ac:dyDescent="0.35">
      <c r="A6" s="177" t="s">
        <v>548</v>
      </c>
      <c r="B6" s="177" t="s">
        <v>19</v>
      </c>
      <c r="C6" s="177" t="s">
        <v>1827</v>
      </c>
      <c r="D6" s="177" t="s">
        <v>549</v>
      </c>
      <c r="E6" s="177"/>
      <c r="F6" s="177" t="s">
        <v>419</v>
      </c>
      <c r="G6" s="177" t="s">
        <v>550</v>
      </c>
      <c r="H6" s="177"/>
      <c r="I6" s="177" t="s">
        <v>551</v>
      </c>
      <c r="J6" s="177">
        <v>2023</v>
      </c>
      <c r="K6" s="177" t="s">
        <v>106</v>
      </c>
      <c r="L6" s="182" t="s">
        <v>107</v>
      </c>
      <c r="M6" s="177"/>
      <c r="N6" s="177" t="s">
        <v>419</v>
      </c>
      <c r="O6"/>
      <c r="P6"/>
      <c r="Q6"/>
      <c r="R6"/>
    </row>
    <row r="7" spans="1:18" x14ac:dyDescent="0.35">
      <c r="A7" s="183" t="s">
        <v>1773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/>
      <c r="P7"/>
      <c r="Q7"/>
      <c r="R7"/>
    </row>
    <row r="8" spans="1:18" x14ac:dyDescent="0.35">
      <c r="A8" s="183" t="s">
        <v>2350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/>
      <c r="P8"/>
      <c r="Q8"/>
      <c r="R8"/>
    </row>
    <row r="9" spans="1:18" x14ac:dyDescent="0.35">
      <c r="A9" s="177" t="s">
        <v>1284</v>
      </c>
      <c r="B9" s="177" t="s">
        <v>1274</v>
      </c>
      <c r="C9" s="177" t="s">
        <v>2112</v>
      </c>
      <c r="D9" s="177" t="s">
        <v>1285</v>
      </c>
      <c r="E9" s="177"/>
      <c r="F9" s="177" t="s">
        <v>419</v>
      </c>
      <c r="G9" s="177" t="s">
        <v>1286</v>
      </c>
      <c r="H9" s="177"/>
      <c r="I9" s="180">
        <v>45599</v>
      </c>
      <c r="J9" s="177">
        <v>2024</v>
      </c>
      <c r="K9" s="177" t="s">
        <v>78</v>
      </c>
      <c r="L9" s="179" t="s">
        <v>79</v>
      </c>
      <c r="M9" s="177"/>
      <c r="N9" s="177" t="s">
        <v>419</v>
      </c>
      <c r="O9"/>
      <c r="P9"/>
      <c r="Q9"/>
      <c r="R9"/>
    </row>
    <row r="10" spans="1:18" x14ac:dyDescent="0.35">
      <c r="A10" s="183" t="s">
        <v>1774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/>
      <c r="P10"/>
      <c r="Q10"/>
      <c r="R10"/>
    </row>
    <row r="11" spans="1:18" x14ac:dyDescent="0.35">
      <c r="A11" s="183" t="s">
        <v>2385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/>
      <c r="P11"/>
      <c r="Q11"/>
      <c r="R11"/>
    </row>
    <row r="12" spans="1:18" x14ac:dyDescent="0.35">
      <c r="A12" s="177" t="s">
        <v>1575</v>
      </c>
      <c r="B12" s="177" t="s">
        <v>1451</v>
      </c>
      <c r="C12" s="177" t="s">
        <v>2171</v>
      </c>
      <c r="D12" s="177" t="s">
        <v>1576</v>
      </c>
      <c r="E12" s="177"/>
      <c r="F12" s="177" t="s">
        <v>419</v>
      </c>
      <c r="G12" s="177" t="s">
        <v>1577</v>
      </c>
      <c r="H12" s="177"/>
      <c r="I12" s="177" t="s">
        <v>1192</v>
      </c>
      <c r="J12" s="177">
        <v>2024</v>
      </c>
      <c r="K12" s="177" t="s">
        <v>78</v>
      </c>
      <c r="L12" s="179" t="s">
        <v>79</v>
      </c>
      <c r="M12" s="177"/>
      <c r="N12" s="177" t="s">
        <v>419</v>
      </c>
      <c r="O12"/>
      <c r="P12"/>
      <c r="Q12"/>
      <c r="R12"/>
    </row>
    <row r="13" spans="1:18" x14ac:dyDescent="0.35">
      <c r="A13" s="177" t="s">
        <v>1593</v>
      </c>
      <c r="B13" s="177" t="s">
        <v>1451</v>
      </c>
      <c r="C13" s="177" t="s">
        <v>2171</v>
      </c>
      <c r="D13" s="177" t="s">
        <v>1594</v>
      </c>
      <c r="E13" s="177"/>
      <c r="F13" s="177" t="s">
        <v>419</v>
      </c>
      <c r="G13" s="177" t="s">
        <v>1595</v>
      </c>
      <c r="H13" s="177"/>
      <c r="I13" s="177" t="s">
        <v>1596</v>
      </c>
      <c r="J13" s="177">
        <v>2023</v>
      </c>
      <c r="K13" s="177" t="s">
        <v>106</v>
      </c>
      <c r="L13" s="182" t="s">
        <v>107</v>
      </c>
      <c r="M13" s="177"/>
      <c r="N13" s="177" t="s">
        <v>419</v>
      </c>
      <c r="O13"/>
      <c r="P13"/>
      <c r="Q13"/>
      <c r="R13"/>
    </row>
    <row r="14" spans="1:18" x14ac:dyDescent="0.35">
      <c r="A14" s="183" t="s">
        <v>2370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/>
      <c r="P14"/>
      <c r="Q14"/>
      <c r="R14"/>
    </row>
    <row r="15" spans="1:18" x14ac:dyDescent="0.35">
      <c r="A15" s="177" t="s">
        <v>1450</v>
      </c>
      <c r="B15" s="177" t="s">
        <v>1451</v>
      </c>
      <c r="C15" s="177" t="s">
        <v>2130</v>
      </c>
      <c r="D15" s="177" t="s">
        <v>1452</v>
      </c>
      <c r="E15" s="177"/>
      <c r="F15" s="177" t="s">
        <v>419</v>
      </c>
      <c r="G15" s="177" t="s">
        <v>1453</v>
      </c>
      <c r="H15" s="177"/>
      <c r="I15" s="180">
        <v>45448</v>
      </c>
      <c r="J15" s="177">
        <v>2024</v>
      </c>
      <c r="K15" s="177" t="s">
        <v>106</v>
      </c>
      <c r="L15" s="182" t="s">
        <v>107</v>
      </c>
      <c r="M15" s="177"/>
      <c r="N15" s="177" t="s">
        <v>419</v>
      </c>
      <c r="O15"/>
      <c r="P15"/>
      <c r="Q15"/>
      <c r="R15"/>
    </row>
    <row r="16" spans="1:18" x14ac:dyDescent="0.35">
      <c r="A16" s="183" t="s">
        <v>2386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/>
      <c r="P16"/>
      <c r="Q16"/>
      <c r="R16"/>
    </row>
    <row r="17" spans="1:18" x14ac:dyDescent="0.35">
      <c r="A17" s="177" t="s">
        <v>1578</v>
      </c>
      <c r="B17" s="177" t="s">
        <v>1451</v>
      </c>
      <c r="C17" s="177" t="s">
        <v>2189</v>
      </c>
      <c r="D17" s="177" t="s">
        <v>1579</v>
      </c>
      <c r="E17" s="177"/>
      <c r="F17" s="177" t="s">
        <v>419</v>
      </c>
      <c r="G17" s="177">
        <v>72026</v>
      </c>
      <c r="H17" s="177"/>
      <c r="I17" s="177" t="s">
        <v>1580</v>
      </c>
      <c r="J17" s="177">
        <v>2025</v>
      </c>
      <c r="K17" s="177" t="s">
        <v>78</v>
      </c>
      <c r="L17" s="179" t="s">
        <v>79</v>
      </c>
      <c r="M17" s="177"/>
      <c r="N17" s="177" t="s">
        <v>419</v>
      </c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00"/>
  <sheetViews>
    <sheetView showGridLines="0" zoomScale="64" workbookViewId="0">
      <pane ySplit="2" topLeftCell="A3" activePane="bottomLeft" state="frozen"/>
      <selection pane="bottomLeft" sqref="A1:XFD1048576"/>
    </sheetView>
  </sheetViews>
  <sheetFormatPr baseColWidth="10" defaultColWidth="8.90625" defaultRowHeight="13.5" x14ac:dyDescent="0.25"/>
  <cols>
    <col min="1" max="1" width="70.90625" style="20" bestFit="1" customWidth="1"/>
    <col min="2" max="2" width="48" style="20" bestFit="1" customWidth="1"/>
    <col min="3" max="3" width="63.08984375" style="20" bestFit="1" customWidth="1"/>
    <col min="4" max="4" width="135" style="20" bestFit="1" customWidth="1"/>
    <col min="5" max="5" width="20.90625" style="20" bestFit="1" customWidth="1"/>
    <col min="6" max="6" width="23.1796875" style="20" bestFit="1" customWidth="1"/>
    <col min="7" max="7" width="16.90625" style="20" bestFit="1" customWidth="1"/>
    <col min="8" max="8" width="19" style="20" bestFit="1" customWidth="1"/>
    <col min="9" max="9" width="19.453125" style="20" bestFit="1" customWidth="1"/>
    <col min="10" max="10" width="9.54296875" style="20" bestFit="1" customWidth="1"/>
    <col min="11" max="11" width="26.453125" style="20" bestFit="1" customWidth="1"/>
    <col min="12" max="12" width="27.54296875" style="20" bestFit="1" customWidth="1"/>
    <col min="13" max="13" width="22.1796875" style="20" customWidth="1"/>
    <col min="14" max="14" width="25.6328125" style="20" bestFit="1" customWidth="1"/>
    <col min="15" max="15" width="5.6328125" style="20" bestFit="1" customWidth="1"/>
    <col min="16" max="16" width="10.453125" style="20" bestFit="1" customWidth="1"/>
    <col min="17" max="17" width="21.6328125" style="20" bestFit="1" customWidth="1"/>
    <col min="18" max="18" width="25.1796875" style="20" bestFit="1" customWidth="1"/>
    <col min="19" max="16384" width="8.90625" style="20"/>
  </cols>
  <sheetData>
    <row r="1" spans="1:18" ht="17.5" x14ac:dyDescent="0.35">
      <c r="A1" s="284" t="s">
        <v>1740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ht="17.5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ht="17.5" x14ac:dyDescent="0.35">
      <c r="A3" s="192" t="s">
        <v>1775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ht="17.5" x14ac:dyDescent="0.35">
      <c r="A4" s="176" t="s">
        <v>2387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ht="18" x14ac:dyDescent="0.35">
      <c r="A5" s="177" t="s">
        <v>455</v>
      </c>
      <c r="B5" s="177" t="s">
        <v>19</v>
      </c>
      <c r="C5" s="177" t="s">
        <v>1827</v>
      </c>
      <c r="D5" s="177" t="s">
        <v>456</v>
      </c>
      <c r="E5" s="177"/>
      <c r="F5" s="177" t="s">
        <v>180</v>
      </c>
      <c r="G5" s="177" t="s">
        <v>457</v>
      </c>
      <c r="H5" s="177"/>
      <c r="I5" s="177" t="s">
        <v>458</v>
      </c>
      <c r="J5" s="177">
        <v>2024</v>
      </c>
      <c r="K5" s="177" t="s">
        <v>78</v>
      </c>
      <c r="L5" s="179" t="s">
        <v>79</v>
      </c>
      <c r="M5" s="177"/>
      <c r="N5" s="177" t="s">
        <v>180</v>
      </c>
      <c r="O5"/>
      <c r="P5"/>
      <c r="Q5"/>
      <c r="R5"/>
    </row>
    <row r="6" spans="1:18" ht="17.5" x14ac:dyDescent="0.35">
      <c r="A6" s="183" t="s">
        <v>2388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/>
      <c r="P6"/>
      <c r="Q6"/>
      <c r="R6"/>
    </row>
    <row r="7" spans="1:18" ht="18" x14ac:dyDescent="0.35">
      <c r="A7" s="177" t="s">
        <v>433</v>
      </c>
      <c r="B7" s="177" t="s">
        <v>19</v>
      </c>
      <c r="C7" s="177" t="s">
        <v>1861</v>
      </c>
      <c r="D7" s="177" t="s">
        <v>434</v>
      </c>
      <c r="E7" s="177"/>
      <c r="F7" s="177" t="s">
        <v>180</v>
      </c>
      <c r="G7" s="177" t="s">
        <v>435</v>
      </c>
      <c r="H7" s="177"/>
      <c r="I7" s="180">
        <v>44995</v>
      </c>
      <c r="J7" s="177">
        <v>2023</v>
      </c>
      <c r="K7" s="177" t="s">
        <v>106</v>
      </c>
      <c r="L7" s="182" t="s">
        <v>107</v>
      </c>
      <c r="M7" s="177"/>
      <c r="N7" s="177" t="s">
        <v>180</v>
      </c>
      <c r="O7"/>
      <c r="P7"/>
      <c r="Q7"/>
      <c r="R7"/>
    </row>
    <row r="8" spans="1:18" ht="17.5" x14ac:dyDescent="0.35">
      <c r="A8" s="183" t="s">
        <v>2389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/>
      <c r="P8"/>
      <c r="Q8"/>
      <c r="R8"/>
    </row>
    <row r="9" spans="1:18" ht="18" x14ac:dyDescent="0.35">
      <c r="A9" s="177" t="s">
        <v>178</v>
      </c>
      <c r="B9" s="177" t="s">
        <v>19</v>
      </c>
      <c r="C9" s="177" t="s">
        <v>1975</v>
      </c>
      <c r="D9" s="177" t="s">
        <v>179</v>
      </c>
      <c r="E9" s="177"/>
      <c r="F9" s="177" t="s">
        <v>180</v>
      </c>
      <c r="G9" s="177" t="s">
        <v>181</v>
      </c>
      <c r="H9" s="177"/>
      <c r="I9" s="180">
        <v>45140</v>
      </c>
      <c r="J9" s="177">
        <v>2023</v>
      </c>
      <c r="K9" s="177" t="s">
        <v>106</v>
      </c>
      <c r="L9" s="182" t="s">
        <v>107</v>
      </c>
      <c r="M9" s="177"/>
      <c r="N9" s="177" t="s">
        <v>180</v>
      </c>
      <c r="O9"/>
      <c r="P9"/>
      <c r="Q9"/>
      <c r="R9"/>
    </row>
    <row r="10" spans="1:18" ht="14.5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ht="14.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ht="14.5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ht="14.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4.5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4.5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4.5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14.5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4.5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4.5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4.5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4.5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4.5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14.5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4.5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4.5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14.5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4.5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4.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4.5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14.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4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4.5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4.5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4.5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4.5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14.5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4.5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4.5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14.5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4.5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4.5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4.5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4.5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4.5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4.5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14.5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14.5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14.5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14.5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ht="14.5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ht="14.5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ht="14.5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ht="14.5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ht="14.5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ht="14.5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ht="14.5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ht="14.5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ht="14.5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ht="14.5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ht="14.5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ht="14.5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ht="14.5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ht="14.5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ht="14.5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ht="14.5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ht="14.5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ht="14.5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ht="14.5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ht="14.5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ht="14.5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ht="14.5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ht="14.5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ht="14.5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ht="14.5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ht="14.5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ht="14.5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ht="14.5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ht="14.5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ht="14.5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ht="14.5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ht="14.5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ht="14.5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ht="14.5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ht="14.5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ht="14.5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ht="14.5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ht="14.5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ht="14.5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ht="14.5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ht="14.5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ht="14.5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ht="14.5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ht="14.5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ht="14.5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ht="14.5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ht="14.5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ht="14.5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ht="14.5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ht="14.5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ht="14.5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ht="14.5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ht="14.5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ht="14.5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ht="14.5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ht="14.5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ht="14.5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ht="14.5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ht="14.5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ht="14.5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ht="14.5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ht="14.5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ht="14.5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ht="14.5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ht="14.5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ht="14.5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ht="14.5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ht="14.5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ht="14.5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ht="14.5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ht="14.5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ht="14.5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ht="14.5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ht="14.5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ht="14.5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ht="14.5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ht="14.5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ht="14.5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ht="14.5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ht="14.5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ht="14.5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ht="14.5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ht="14.5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ht="14.5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ht="14.5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ht="14.5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ht="14.5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ht="14.5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ht="14.5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ht="14.5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ht="14.5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ht="14.5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ht="14.5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ht="14.5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ht="14.5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ht="14.5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ht="14.5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ht="14.5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ht="14.5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ht="14.5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ht="14.5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ht="14.5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ht="14.5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ht="14.5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ht="14.5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ht="14.5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ht="14.5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ht="14.5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ht="14.5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ht="14.5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ht="14.5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ht="14.5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ht="14.5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ht="14.5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ht="14.5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ht="14.5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ht="14.5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ht="14.5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ht="14.5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ht="14.5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ht="14.5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ht="14.5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ht="14.5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ht="14.5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ht="14.5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ht="14.5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ht="14.5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ht="14.5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ht="14.5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ht="14.5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ht="14.5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ht="14.5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ht="14.5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ht="14.5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ht="14.5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ht="14.5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ht="14.5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ht="14.5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ht="14.5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ht="14.5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ht="14.5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ht="14.5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ht="14.5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ht="14.5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ht="14.5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ht="14.5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ht="14.5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ht="14.5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ht="14.5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ht="14.5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ht="14.5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ht="14.5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ht="14.5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ht="14.5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ht="14.5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ht="14.5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ht="14.5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ht="14.5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ht="14.5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ht="14.5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ht="14.5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ht="14.5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ht="14.5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ht="14.5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ht="14.5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ht="14.5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ht="14.5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ht="14.5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ht="14.5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ht="14.5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ht="14.5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ht="14.5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ht="14.5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ht="14.5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ht="14.5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ht="14.5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ht="14.5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ht="14.5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ht="14.5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ht="14.5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ht="14.5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ht="14.5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ht="14.5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ht="14.5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ht="14.5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ht="14.5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ht="14.5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ht="14.5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ht="14.5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ht="14.5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ht="14.5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ht="14.5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ht="14.5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ht="14.5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ht="14.5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ht="14.5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ht="14.5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ht="14.5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ht="14.5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ht="14.5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ht="14.5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ht="14.5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ht="14.5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ht="14.5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ht="14.5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ht="14.5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ht="14.5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ht="14.5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ht="14.5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ht="14.5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ht="14.5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ht="14.5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ht="14.5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ht="14.5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ht="14.5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ht="14.5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ht="14.5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ht="14.5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ht="14.5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ht="14.5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ht="14.5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ht="14.5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ht="14.5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ht="14.5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ht="14.5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ht="14.5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ht="14.5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ht="14.5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ht="14.5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ht="14.5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ht="14.5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ht="14.5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ht="14.5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ht="14.5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ht="14.5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ht="14.5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ht="14.5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ht="14.5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ht="14.5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ht="14.5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ht="14.5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ht="14.5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ht="14.5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ht="14.5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ht="14.5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ht="14.5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ht="14.5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ht="14.5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ht="14.5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ht="14.5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00"/>
  <sheetViews>
    <sheetView showGridLines="0" zoomScale="52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8.1796875" style="19" bestFit="1" customWidth="1"/>
    <col min="2" max="2" width="57.1796875" style="19" bestFit="1" customWidth="1"/>
    <col min="3" max="3" width="70.08984375" style="19" bestFit="1" customWidth="1"/>
    <col min="4" max="4" width="147.5429687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19.6328125" style="19" bestFit="1" customWidth="1"/>
    <col min="19" max="16384" width="8.90625" style="19"/>
  </cols>
  <sheetData>
    <row r="1" spans="1:18" x14ac:dyDescent="0.35">
      <c r="A1" s="284" t="s">
        <v>1741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1768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2388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101</v>
      </c>
      <c r="B5" s="177" t="s">
        <v>19</v>
      </c>
      <c r="C5" s="177" t="s">
        <v>1861</v>
      </c>
      <c r="D5" s="177" t="s">
        <v>102</v>
      </c>
      <c r="E5" s="177"/>
      <c r="F5" s="177" t="s">
        <v>103</v>
      </c>
      <c r="G5" s="177" t="s">
        <v>104</v>
      </c>
      <c r="H5" s="177"/>
      <c r="I5" s="177" t="s">
        <v>105</v>
      </c>
      <c r="J5" s="177">
        <v>2024</v>
      </c>
      <c r="K5" s="177" t="s">
        <v>106</v>
      </c>
      <c r="L5" s="182" t="s">
        <v>107</v>
      </c>
      <c r="M5" s="177"/>
      <c r="N5" s="177" t="s">
        <v>103</v>
      </c>
      <c r="O5"/>
      <c r="P5"/>
      <c r="Q5"/>
      <c r="R5"/>
    </row>
    <row r="6" spans="1:18" x14ac:dyDescent="0.35">
      <c r="A6" s="183" t="s">
        <v>1767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/>
      <c r="P6"/>
      <c r="Q6"/>
      <c r="R6"/>
    </row>
    <row r="7" spans="1:18" x14ac:dyDescent="0.35">
      <c r="A7" s="183" t="s">
        <v>2390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/>
      <c r="P7"/>
      <c r="Q7"/>
      <c r="R7"/>
    </row>
    <row r="8" spans="1:18" x14ac:dyDescent="0.35">
      <c r="A8" s="177" t="s">
        <v>1611</v>
      </c>
      <c r="B8" s="177" t="s">
        <v>1451</v>
      </c>
      <c r="C8" s="177" t="s">
        <v>2146</v>
      </c>
      <c r="D8" s="177" t="s">
        <v>1612</v>
      </c>
      <c r="E8" s="177"/>
      <c r="F8" s="177" t="s">
        <v>103</v>
      </c>
      <c r="G8" s="177">
        <v>71490</v>
      </c>
      <c r="H8" s="177"/>
      <c r="I8" s="177" t="s">
        <v>1399</v>
      </c>
      <c r="J8" s="177">
        <v>2025</v>
      </c>
      <c r="K8" s="177" t="s">
        <v>78</v>
      </c>
      <c r="L8" s="179" t="s">
        <v>79</v>
      </c>
      <c r="M8" s="177"/>
      <c r="N8" s="177" t="s">
        <v>103</v>
      </c>
      <c r="O8"/>
      <c r="P8"/>
      <c r="Q8"/>
      <c r="R8"/>
    </row>
    <row r="9" spans="1:18" x14ac:dyDescent="0.35">
      <c r="A9" s="183" t="s">
        <v>1776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/>
      <c r="P9"/>
      <c r="Q9"/>
      <c r="R9"/>
    </row>
    <row r="10" spans="1:18" x14ac:dyDescent="0.35">
      <c r="A10" s="183" t="s">
        <v>2391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/>
      <c r="P10"/>
      <c r="Q10"/>
      <c r="R10"/>
    </row>
    <row r="11" spans="1:18" x14ac:dyDescent="0.35">
      <c r="A11" s="177" t="s">
        <v>1647</v>
      </c>
      <c r="B11" s="177" t="s">
        <v>1617</v>
      </c>
      <c r="C11" s="177" t="s">
        <v>2192</v>
      </c>
      <c r="D11" s="177" t="s">
        <v>1648</v>
      </c>
      <c r="E11" s="177"/>
      <c r="F11" s="177" t="s">
        <v>103</v>
      </c>
      <c r="G11" s="177" t="s">
        <v>1649</v>
      </c>
      <c r="H11" s="177"/>
      <c r="I11" s="180">
        <v>45301</v>
      </c>
      <c r="J11" s="177">
        <v>2024</v>
      </c>
      <c r="K11" s="177" t="s">
        <v>106</v>
      </c>
      <c r="L11" s="182" t="s">
        <v>107</v>
      </c>
      <c r="M11" s="177"/>
      <c r="N11" s="177" t="s">
        <v>103</v>
      </c>
      <c r="O11"/>
      <c r="P11"/>
      <c r="Q11"/>
      <c r="R11"/>
    </row>
    <row r="12" spans="1:18" x14ac:dyDescent="0.35">
      <c r="A12" s="177" t="s">
        <v>1650</v>
      </c>
      <c r="B12" s="177" t="s">
        <v>1617</v>
      </c>
      <c r="C12" s="177" t="s">
        <v>2192</v>
      </c>
      <c r="D12" s="177" t="s">
        <v>1651</v>
      </c>
      <c r="E12" s="177"/>
      <c r="F12" s="177" t="s">
        <v>103</v>
      </c>
      <c r="G12" s="177" t="s">
        <v>1652</v>
      </c>
      <c r="H12" s="177"/>
      <c r="I12" s="180">
        <v>45544</v>
      </c>
      <c r="J12" s="177">
        <v>2024</v>
      </c>
      <c r="K12" s="177" t="s">
        <v>106</v>
      </c>
      <c r="L12" s="182" t="s">
        <v>107</v>
      </c>
      <c r="M12" s="177"/>
      <c r="N12" s="177" t="s">
        <v>103</v>
      </c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00"/>
  <sheetViews>
    <sheetView showGridLines="0" zoomScale="74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2.81640625" style="19" bestFit="1" customWidth="1"/>
    <col min="2" max="2" width="52.453125" style="19" bestFit="1" customWidth="1"/>
    <col min="3" max="3" width="63" style="19" bestFit="1" customWidth="1"/>
    <col min="4" max="4" width="195.90625" style="19" bestFit="1" customWidth="1"/>
    <col min="5" max="5" width="21" style="19" bestFit="1" customWidth="1"/>
    <col min="6" max="6" width="23.1796875" style="19" bestFit="1" customWidth="1"/>
    <col min="7" max="7" width="17.179687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8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20.90625" style="19" bestFit="1" customWidth="1"/>
    <col min="19" max="16384" width="8.90625" style="19"/>
  </cols>
  <sheetData>
    <row r="1" spans="1:18" x14ac:dyDescent="0.35">
      <c r="A1" s="284" t="s">
        <v>1742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3" t="s">
        <v>1769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/>
      <c r="P3"/>
      <c r="Q3"/>
      <c r="R3"/>
    </row>
    <row r="4" spans="1:18" x14ac:dyDescent="0.35">
      <c r="A4" s="187" t="s">
        <v>2345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/>
      <c r="P4"/>
      <c r="Q4"/>
      <c r="R4"/>
    </row>
    <row r="5" spans="1:18" x14ac:dyDescent="0.35">
      <c r="A5" s="177" t="s">
        <v>1017</v>
      </c>
      <c r="B5" s="177" t="s">
        <v>831</v>
      </c>
      <c r="C5" s="177" t="s">
        <v>2022</v>
      </c>
      <c r="D5" s="177" t="s">
        <v>1018</v>
      </c>
      <c r="E5" s="177"/>
      <c r="F5" s="177" t="s">
        <v>1019</v>
      </c>
      <c r="G5" s="177" t="s">
        <v>1020</v>
      </c>
      <c r="H5" s="177"/>
      <c r="I5" s="180">
        <v>45445</v>
      </c>
      <c r="J5" s="177">
        <v>2024</v>
      </c>
      <c r="K5" s="177" t="s">
        <v>78</v>
      </c>
      <c r="L5" s="179" t="s">
        <v>79</v>
      </c>
      <c r="M5" s="177"/>
      <c r="N5" s="177" t="s">
        <v>1019</v>
      </c>
      <c r="O5"/>
      <c r="P5"/>
      <c r="Q5"/>
      <c r="R5"/>
    </row>
    <row r="6" spans="1:18" x14ac:dyDescent="0.35">
      <c r="A6" s="177" t="s">
        <v>1189</v>
      </c>
      <c r="B6" s="177" t="s">
        <v>831</v>
      </c>
      <c r="C6" s="177" t="s">
        <v>2022</v>
      </c>
      <c r="D6" s="177" t="s">
        <v>1190</v>
      </c>
      <c r="E6" s="177"/>
      <c r="F6" s="177" t="s">
        <v>1019</v>
      </c>
      <c r="G6" s="177" t="s">
        <v>1191</v>
      </c>
      <c r="H6" s="177"/>
      <c r="I6" s="177" t="s">
        <v>1192</v>
      </c>
      <c r="J6" s="177">
        <v>2024</v>
      </c>
      <c r="K6" s="177" t="s">
        <v>106</v>
      </c>
      <c r="L6" s="182" t="s">
        <v>107</v>
      </c>
      <c r="M6" s="177"/>
      <c r="N6" s="177" t="s">
        <v>1019</v>
      </c>
      <c r="O6"/>
      <c r="P6"/>
      <c r="Q6"/>
      <c r="R6"/>
    </row>
    <row r="7" spans="1:18" x14ac:dyDescent="0.35">
      <c r="A7" s="183" t="s">
        <v>2392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/>
      <c r="P7"/>
      <c r="Q7"/>
      <c r="R7"/>
    </row>
    <row r="8" spans="1:18" x14ac:dyDescent="0.35">
      <c r="A8" s="177" t="s">
        <v>1028</v>
      </c>
      <c r="B8" s="177" t="s">
        <v>831</v>
      </c>
      <c r="C8" s="177" t="s">
        <v>2052</v>
      </c>
      <c r="D8" s="177" t="s">
        <v>1029</v>
      </c>
      <c r="E8" s="177"/>
      <c r="F8" s="177" t="s">
        <v>1019</v>
      </c>
      <c r="G8" s="177" t="s">
        <v>1030</v>
      </c>
      <c r="H8" s="177"/>
      <c r="I8" s="177" t="s">
        <v>1031</v>
      </c>
      <c r="J8" s="177">
        <v>2024</v>
      </c>
      <c r="K8" s="177" t="s">
        <v>106</v>
      </c>
      <c r="L8" s="182" t="s">
        <v>107</v>
      </c>
      <c r="M8" s="177"/>
      <c r="N8" s="177" t="s">
        <v>1019</v>
      </c>
      <c r="O8"/>
      <c r="P8"/>
      <c r="Q8"/>
      <c r="R8"/>
    </row>
    <row r="9" spans="1:18" x14ac:dyDescent="0.35">
      <c r="A9" s="183" t="s">
        <v>1773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/>
      <c r="P9"/>
      <c r="Q9"/>
      <c r="R9"/>
    </row>
    <row r="10" spans="1:18" x14ac:dyDescent="0.35">
      <c r="A10" s="183" t="s">
        <v>2393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/>
      <c r="P10"/>
      <c r="Q10"/>
      <c r="R10"/>
    </row>
    <row r="11" spans="1:18" x14ac:dyDescent="0.35">
      <c r="A11" s="177" t="s">
        <v>1420</v>
      </c>
      <c r="B11" s="177" t="s">
        <v>1274</v>
      </c>
      <c r="C11" s="177" t="s">
        <v>2073</v>
      </c>
      <c r="D11" s="177" t="s">
        <v>1421</v>
      </c>
      <c r="E11" s="177"/>
      <c r="F11" s="177" t="s">
        <v>1019</v>
      </c>
      <c r="G11" s="177">
        <v>72904</v>
      </c>
      <c r="H11" s="177"/>
      <c r="I11" s="177" t="s">
        <v>1422</v>
      </c>
      <c r="J11" s="177">
        <v>2025</v>
      </c>
      <c r="K11" s="177" t="s">
        <v>78</v>
      </c>
      <c r="L11" s="179" t="s">
        <v>79</v>
      </c>
      <c r="M11" s="177"/>
      <c r="N11" s="177" t="s">
        <v>1019</v>
      </c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300"/>
  <sheetViews>
    <sheetView showGridLines="0" zoomScale="37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82.1796875" style="19" bestFit="1" customWidth="1"/>
    <col min="2" max="2" width="57.1796875" style="19" bestFit="1" customWidth="1"/>
    <col min="3" max="3" width="74.6328125" style="19" bestFit="1" customWidth="1"/>
    <col min="4" max="4" width="162.9062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67.08984375" style="19" bestFit="1" customWidth="1"/>
    <col min="19" max="16384" width="8.90625" style="19"/>
  </cols>
  <sheetData>
    <row r="1" spans="1:18" x14ac:dyDescent="0.35">
      <c r="A1" s="284" t="s">
        <v>1743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4" t="s">
        <v>1770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/>
      <c r="P3"/>
      <c r="Q3"/>
      <c r="R3"/>
    </row>
    <row r="4" spans="1:18" x14ac:dyDescent="0.35">
      <c r="A4" s="189" t="s">
        <v>2394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/>
      <c r="P4"/>
      <c r="Q4"/>
      <c r="R4"/>
    </row>
    <row r="5" spans="1:18" x14ac:dyDescent="0.35">
      <c r="A5" s="177" t="s">
        <v>1280</v>
      </c>
      <c r="B5" s="177" t="s">
        <v>1274</v>
      </c>
      <c r="C5" s="177" t="s">
        <v>2112</v>
      </c>
      <c r="D5" s="177" t="s">
        <v>1281</v>
      </c>
      <c r="E5" s="177"/>
      <c r="F5" s="177" t="s">
        <v>1282</v>
      </c>
      <c r="G5" s="177" t="s">
        <v>1283</v>
      </c>
      <c r="H5" s="177"/>
      <c r="I5" s="180">
        <v>44598</v>
      </c>
      <c r="J5" s="177">
        <v>2022</v>
      </c>
      <c r="K5" s="177" t="s">
        <v>106</v>
      </c>
      <c r="L5" s="182" t="s">
        <v>107</v>
      </c>
      <c r="M5" s="177"/>
      <c r="N5" s="177" t="s">
        <v>1282</v>
      </c>
      <c r="O5"/>
      <c r="P5"/>
      <c r="Q5"/>
      <c r="R5"/>
    </row>
    <row r="6" spans="1:18" x14ac:dyDescent="0.35">
      <c r="A6" s="177" t="s">
        <v>1324</v>
      </c>
      <c r="B6" s="177" t="s">
        <v>1274</v>
      </c>
      <c r="C6" s="177" t="s">
        <v>2112</v>
      </c>
      <c r="D6" s="177" t="s">
        <v>1325</v>
      </c>
      <c r="E6" s="177"/>
      <c r="F6" s="177" t="s">
        <v>1282</v>
      </c>
      <c r="G6" s="177" t="s">
        <v>1326</v>
      </c>
      <c r="H6" s="177"/>
      <c r="I6" s="180">
        <v>45605</v>
      </c>
      <c r="J6" s="177">
        <v>2024</v>
      </c>
      <c r="K6" s="177" t="s">
        <v>106</v>
      </c>
      <c r="L6" s="182" t="s">
        <v>107</v>
      </c>
      <c r="M6" s="177"/>
      <c r="N6" s="177" t="s">
        <v>1282</v>
      </c>
      <c r="O6"/>
      <c r="P6"/>
      <c r="Q6"/>
      <c r="R6"/>
    </row>
    <row r="7" spans="1:18" x14ac:dyDescent="0.35">
      <c r="A7" s="177" t="s">
        <v>1328</v>
      </c>
      <c r="B7" s="177" t="s">
        <v>1274</v>
      </c>
      <c r="C7" s="177" t="s">
        <v>2112</v>
      </c>
      <c r="D7" s="177" t="s">
        <v>1329</v>
      </c>
      <c r="E7" s="177"/>
      <c r="F7" s="177" t="s">
        <v>1282</v>
      </c>
      <c r="G7" s="177">
        <v>72346</v>
      </c>
      <c r="H7" s="177"/>
      <c r="I7" s="180">
        <v>45877</v>
      </c>
      <c r="J7" s="177">
        <v>2025</v>
      </c>
      <c r="K7" s="177" t="s">
        <v>78</v>
      </c>
      <c r="L7" s="179" t="s">
        <v>79</v>
      </c>
      <c r="M7" s="177"/>
      <c r="N7" s="177" t="s">
        <v>1282</v>
      </c>
      <c r="O7"/>
      <c r="P7"/>
      <c r="Q7"/>
      <c r="R7"/>
    </row>
    <row r="8" spans="1:18" x14ac:dyDescent="0.35">
      <c r="A8" s="183" t="s">
        <v>1777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/>
      <c r="P8"/>
      <c r="Q8"/>
      <c r="R8"/>
    </row>
    <row r="9" spans="1:18" x14ac:dyDescent="0.35">
      <c r="A9" s="183" t="s">
        <v>2395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/>
      <c r="P9"/>
      <c r="Q9"/>
      <c r="R9"/>
    </row>
    <row r="10" spans="1:18" x14ac:dyDescent="0.35">
      <c r="A10" s="177" t="s">
        <v>1629</v>
      </c>
      <c r="B10" s="177" t="s">
        <v>1617</v>
      </c>
      <c r="C10" s="177" t="s">
        <v>2200</v>
      </c>
      <c r="D10" s="177" t="s">
        <v>1630</v>
      </c>
      <c r="E10" s="177"/>
      <c r="F10" s="177" t="s">
        <v>1282</v>
      </c>
      <c r="G10" s="177">
        <v>74896</v>
      </c>
      <c r="H10" s="177"/>
      <c r="I10" s="177" t="s">
        <v>1631</v>
      </c>
      <c r="J10" s="177">
        <v>2026</v>
      </c>
      <c r="K10" s="177" t="s">
        <v>78</v>
      </c>
      <c r="L10" s="179" t="s">
        <v>79</v>
      </c>
      <c r="M10" s="177"/>
      <c r="N10" s="177" t="s">
        <v>1282</v>
      </c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00"/>
  <sheetViews>
    <sheetView showGridLines="0" zoomScale="31" workbookViewId="0">
      <pane ySplit="2" topLeftCell="A8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6.90625" style="19" bestFit="1" customWidth="1"/>
    <col min="2" max="2" width="52" style="19" bestFit="1" customWidth="1"/>
    <col min="3" max="3" width="69" style="19" bestFit="1" customWidth="1"/>
    <col min="4" max="4" width="158.632812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20.90625" style="19" bestFit="1" customWidth="1"/>
    <col min="19" max="16384" width="8.90625" style="19"/>
  </cols>
  <sheetData>
    <row r="1" spans="1:18" x14ac:dyDescent="0.35">
      <c r="A1" s="284" t="s">
        <v>1744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1768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2388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464</v>
      </c>
      <c r="B5" s="177" t="s">
        <v>19</v>
      </c>
      <c r="C5" s="177" t="s">
        <v>1861</v>
      </c>
      <c r="D5" s="177" t="s">
        <v>465</v>
      </c>
      <c r="E5" s="177"/>
      <c r="F5" s="177" t="s">
        <v>466</v>
      </c>
      <c r="G5" s="177">
        <v>72315</v>
      </c>
      <c r="H5" s="177"/>
      <c r="I5" s="177" t="s">
        <v>467</v>
      </c>
      <c r="J5" s="177">
        <v>2025</v>
      </c>
      <c r="K5" s="177" t="s">
        <v>78</v>
      </c>
      <c r="L5" s="179" t="s">
        <v>79</v>
      </c>
      <c r="M5" s="177"/>
      <c r="N5" s="177" t="s">
        <v>466</v>
      </c>
      <c r="O5"/>
      <c r="P5"/>
      <c r="Q5"/>
      <c r="R5"/>
    </row>
    <row r="6" spans="1:18" x14ac:dyDescent="0.35">
      <c r="A6" s="183" t="s">
        <v>1766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/>
      <c r="P6"/>
      <c r="Q6"/>
      <c r="R6"/>
    </row>
    <row r="7" spans="1:18" x14ac:dyDescent="0.35">
      <c r="A7" s="183" t="s">
        <v>2392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/>
      <c r="P7"/>
      <c r="Q7"/>
      <c r="R7"/>
    </row>
    <row r="8" spans="1:18" x14ac:dyDescent="0.35">
      <c r="A8" s="177" t="s">
        <v>1025</v>
      </c>
      <c r="B8" s="177" t="s">
        <v>831</v>
      </c>
      <c r="C8" s="177" t="s">
        <v>2052</v>
      </c>
      <c r="D8" s="177" t="s">
        <v>1026</v>
      </c>
      <c r="E8" s="177"/>
      <c r="F8" s="177" t="s">
        <v>466</v>
      </c>
      <c r="G8" s="177">
        <v>67911</v>
      </c>
      <c r="H8" s="177"/>
      <c r="I8" s="180">
        <v>45301</v>
      </c>
      <c r="J8" s="177">
        <v>2024</v>
      </c>
      <c r="K8" s="177" t="s">
        <v>106</v>
      </c>
      <c r="L8" s="182" t="s">
        <v>107</v>
      </c>
      <c r="M8" s="177"/>
      <c r="N8" s="177" t="s">
        <v>1027</v>
      </c>
      <c r="O8"/>
      <c r="P8"/>
      <c r="Q8"/>
      <c r="R8"/>
    </row>
    <row r="9" spans="1:18" x14ac:dyDescent="0.35">
      <c r="A9" s="183" t="s">
        <v>2379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/>
      <c r="P9"/>
      <c r="Q9"/>
      <c r="R9"/>
    </row>
    <row r="10" spans="1:18" x14ac:dyDescent="0.35">
      <c r="A10" s="177" t="s">
        <v>1032</v>
      </c>
      <c r="B10" s="177" t="s">
        <v>831</v>
      </c>
      <c r="C10" s="177" t="s">
        <v>2055</v>
      </c>
      <c r="D10" s="177" t="s">
        <v>1033</v>
      </c>
      <c r="E10" s="177"/>
      <c r="F10" s="177" t="s">
        <v>466</v>
      </c>
      <c r="G10" s="177">
        <v>71524</v>
      </c>
      <c r="H10" s="177"/>
      <c r="I10" s="177" t="s">
        <v>1034</v>
      </c>
      <c r="J10" s="177">
        <v>2025</v>
      </c>
      <c r="K10" s="177" t="s">
        <v>78</v>
      </c>
      <c r="L10" s="179" t="s">
        <v>79</v>
      </c>
      <c r="M10" s="177"/>
      <c r="N10" s="177" t="s">
        <v>466</v>
      </c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00"/>
  <sheetViews>
    <sheetView showGridLines="0" zoomScale="55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6.1796875" style="19" bestFit="1" customWidth="1"/>
    <col min="2" max="2" width="48" style="19" bestFit="1" customWidth="1"/>
    <col min="3" max="3" width="67.90625" style="19" bestFit="1" customWidth="1"/>
    <col min="4" max="4" width="188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5.08984375" style="19" bestFit="1" customWidth="1"/>
    <col min="17" max="17" width="25.90625" style="19" bestFit="1" customWidth="1"/>
    <col min="18" max="18" width="29.54296875" style="19" bestFit="1" customWidth="1"/>
    <col min="19" max="16384" width="8.90625" style="19"/>
  </cols>
  <sheetData>
    <row r="1" spans="1:18" x14ac:dyDescent="0.35">
      <c r="A1" s="284" t="s">
        <v>1745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1772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2396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436</v>
      </c>
      <c r="B5" s="177" t="s">
        <v>19</v>
      </c>
      <c r="C5" s="177" t="s">
        <v>1842</v>
      </c>
      <c r="D5" s="177" t="s">
        <v>437</v>
      </c>
      <c r="E5" s="177"/>
      <c r="F5" s="177" t="s">
        <v>170</v>
      </c>
      <c r="G5" s="177" t="s">
        <v>438</v>
      </c>
      <c r="H5" s="177"/>
      <c r="I5" s="177" t="s">
        <v>439</v>
      </c>
      <c r="J5" s="177">
        <v>2021</v>
      </c>
      <c r="K5" s="177" t="s">
        <v>78</v>
      </c>
      <c r="L5" s="179" t="s">
        <v>79</v>
      </c>
      <c r="M5" s="177"/>
      <c r="N5" s="177" t="s">
        <v>170</v>
      </c>
      <c r="O5"/>
      <c r="P5"/>
      <c r="Q5"/>
      <c r="R5"/>
    </row>
    <row r="6" spans="1:18" x14ac:dyDescent="0.35">
      <c r="A6" s="183" t="s">
        <v>2389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/>
      <c r="P6"/>
      <c r="Q6"/>
      <c r="R6"/>
    </row>
    <row r="7" spans="1:18" x14ac:dyDescent="0.35">
      <c r="A7" s="177" t="s">
        <v>168</v>
      </c>
      <c r="B7" s="177" t="s">
        <v>19</v>
      </c>
      <c r="C7" s="177" t="s">
        <v>1975</v>
      </c>
      <c r="D7" s="177" t="s">
        <v>169</v>
      </c>
      <c r="E7" s="177"/>
      <c r="F7" s="177" t="s">
        <v>170</v>
      </c>
      <c r="G7" s="177" t="s">
        <v>171</v>
      </c>
      <c r="H7" s="177"/>
      <c r="I7" s="177" t="s">
        <v>172</v>
      </c>
      <c r="J7" s="177">
        <v>2022</v>
      </c>
      <c r="K7" s="177" t="s">
        <v>78</v>
      </c>
      <c r="L7" s="179" t="s">
        <v>79</v>
      </c>
      <c r="M7" s="177"/>
      <c r="N7" s="177" t="s">
        <v>170</v>
      </c>
      <c r="O7"/>
      <c r="P7"/>
      <c r="Q7"/>
      <c r="R7"/>
    </row>
    <row r="8" spans="1:18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300"/>
  <sheetViews>
    <sheetView showGridLines="0" zoomScale="53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0.90625" style="19" bestFit="1" customWidth="1"/>
    <col min="2" max="2" width="48" style="19" bestFit="1" customWidth="1"/>
    <col min="3" max="3" width="63.08984375" style="19" bestFit="1" customWidth="1"/>
    <col min="4" max="4" width="90.179687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20.90625" style="19" bestFit="1" customWidth="1"/>
    <col min="19" max="16384" width="8.90625" style="19"/>
  </cols>
  <sheetData>
    <row r="1" spans="1:18" x14ac:dyDescent="0.35">
      <c r="A1" s="284" t="s">
        <v>1746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1772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2384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473</v>
      </c>
      <c r="B5" s="177" t="s">
        <v>19</v>
      </c>
      <c r="C5" s="177" t="s">
        <v>1827</v>
      </c>
      <c r="D5" s="177" t="s">
        <v>474</v>
      </c>
      <c r="E5" s="177"/>
      <c r="F5" s="177" t="s">
        <v>475</v>
      </c>
      <c r="G5" s="177" t="s">
        <v>476</v>
      </c>
      <c r="H5" s="177"/>
      <c r="I5" s="180">
        <v>45605</v>
      </c>
      <c r="J5" s="177">
        <v>2024</v>
      </c>
      <c r="K5" s="177" t="s">
        <v>78</v>
      </c>
      <c r="L5" s="179" t="s">
        <v>79</v>
      </c>
      <c r="M5" s="177"/>
      <c r="N5" s="177" t="s">
        <v>477</v>
      </c>
      <c r="O5"/>
      <c r="P5"/>
      <c r="Q5"/>
      <c r="R5"/>
    </row>
    <row r="6" spans="1:18" x14ac:dyDescent="0.35">
      <c r="A6" s="177" t="s">
        <v>664</v>
      </c>
      <c r="B6" s="177" t="s">
        <v>19</v>
      </c>
      <c r="C6" s="177" t="s">
        <v>1827</v>
      </c>
      <c r="D6" s="177" t="s">
        <v>665</v>
      </c>
      <c r="E6" s="177"/>
      <c r="F6" s="177" t="s">
        <v>475</v>
      </c>
      <c r="G6" s="177">
        <v>71355</v>
      </c>
      <c r="H6" s="177"/>
      <c r="I6" s="177" t="s">
        <v>666</v>
      </c>
      <c r="J6" s="177">
        <v>2025</v>
      </c>
      <c r="K6" s="177" t="s">
        <v>78</v>
      </c>
      <c r="L6" s="179" t="s">
        <v>79</v>
      </c>
      <c r="M6" s="177"/>
      <c r="N6" s="177" t="s">
        <v>477</v>
      </c>
      <c r="O6"/>
      <c r="P6"/>
      <c r="Q6"/>
      <c r="R6"/>
    </row>
    <row r="7" spans="1:18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00"/>
  <sheetViews>
    <sheetView showGridLines="0" zoomScale="39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0.90625" style="19" bestFit="1" customWidth="1"/>
    <col min="2" max="2" width="48" style="19" bestFit="1" customWidth="1"/>
    <col min="3" max="3" width="63.08984375" style="19" bestFit="1" customWidth="1"/>
    <col min="4" max="4" width="236.9062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0.54296875" style="19" bestFit="1" customWidth="1"/>
    <col min="12" max="12" width="31.632812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53.90625" style="19" bestFit="1" customWidth="1"/>
    <col min="17" max="17" width="34.6328125" style="19" bestFit="1" customWidth="1"/>
    <col min="18" max="18" width="29.54296875" style="19" bestFit="1" customWidth="1"/>
    <col min="19" max="16384" width="8.90625" style="19"/>
  </cols>
  <sheetData>
    <row r="1" spans="1:18" x14ac:dyDescent="0.35">
      <c r="A1" s="284" t="s">
        <v>1747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1768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2387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32</v>
      </c>
      <c r="B5" s="177" t="s">
        <v>19</v>
      </c>
      <c r="C5" s="177" t="s">
        <v>1827</v>
      </c>
      <c r="D5" s="177" t="s">
        <v>33</v>
      </c>
      <c r="E5" s="177"/>
      <c r="F5" s="177" t="s">
        <v>34</v>
      </c>
      <c r="G5" s="177" t="s">
        <v>35</v>
      </c>
      <c r="H5" s="177"/>
      <c r="I5" s="177" t="s">
        <v>36</v>
      </c>
      <c r="J5" s="177">
        <v>2021</v>
      </c>
      <c r="K5" s="177" t="s">
        <v>37</v>
      </c>
      <c r="L5" s="178" t="s">
        <v>30</v>
      </c>
      <c r="M5" s="177"/>
      <c r="N5" s="177" t="s">
        <v>34</v>
      </c>
      <c r="O5"/>
      <c r="P5"/>
      <c r="Q5"/>
      <c r="R5"/>
    </row>
    <row r="6" spans="1:18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300"/>
  <sheetViews>
    <sheetView showGridLines="0" zoomScale="41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9.08984375" style="19" bestFit="1" customWidth="1"/>
    <col min="2" max="2" width="57.1796875" style="19" bestFit="1" customWidth="1"/>
    <col min="3" max="3" width="70.6328125" style="19" bestFit="1" customWidth="1"/>
    <col min="4" max="4" width="195.3632812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26.453125" style="19" bestFit="1" customWidth="1"/>
    <col min="19" max="16384" width="8.90625" style="19"/>
  </cols>
  <sheetData>
    <row r="1" spans="1:18" x14ac:dyDescent="0.35">
      <c r="A1" s="284" t="s">
        <v>1748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5" t="s">
        <v>1777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/>
      <c r="P3"/>
      <c r="Q3"/>
      <c r="R3"/>
    </row>
    <row r="4" spans="1:18" x14ac:dyDescent="0.35">
      <c r="A4" s="191" t="s">
        <v>2397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/>
      <c r="P4"/>
      <c r="Q4"/>
      <c r="R4"/>
    </row>
    <row r="5" spans="1:18" x14ac:dyDescent="0.35">
      <c r="A5" s="177" t="s">
        <v>1695</v>
      </c>
      <c r="B5" s="177" t="s">
        <v>1617</v>
      </c>
      <c r="C5" s="177" t="s">
        <v>2217</v>
      </c>
      <c r="D5" s="177" t="s">
        <v>1696</v>
      </c>
      <c r="E5" s="177"/>
      <c r="F5" s="177" t="s">
        <v>1697</v>
      </c>
      <c r="G5" s="177">
        <v>73605</v>
      </c>
      <c r="H5" s="177"/>
      <c r="I5" s="180">
        <v>45759</v>
      </c>
      <c r="J5" s="177">
        <v>2025</v>
      </c>
      <c r="K5" s="177" t="s">
        <v>78</v>
      </c>
      <c r="L5" s="179" t="s">
        <v>79</v>
      </c>
      <c r="M5" s="177"/>
      <c r="N5" s="177" t="s">
        <v>1697</v>
      </c>
      <c r="O5"/>
      <c r="P5"/>
      <c r="Q5"/>
      <c r="R5"/>
    </row>
    <row r="6" spans="1:18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300"/>
  <sheetViews>
    <sheetView showGridLines="0" zoomScale="49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77.36328125" style="19" bestFit="1" customWidth="1"/>
    <col min="2" max="2" width="52" style="19" bestFit="1" customWidth="1"/>
    <col min="3" max="3" width="69.90625" style="19" bestFit="1" customWidth="1"/>
    <col min="4" max="4" width="113.45312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5.08984375" style="19" bestFit="1" customWidth="1"/>
    <col min="17" max="17" width="34.6328125" style="19" bestFit="1" customWidth="1"/>
    <col min="18" max="18" width="20.90625" style="19" bestFit="1" customWidth="1"/>
    <col min="19" max="16384" width="8.90625" style="19"/>
  </cols>
  <sheetData>
    <row r="1" spans="1:18" x14ac:dyDescent="0.35">
      <c r="A1" s="284" t="s">
        <v>1749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3" t="s">
        <v>1778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/>
      <c r="P3"/>
      <c r="Q3"/>
      <c r="R3"/>
    </row>
    <row r="4" spans="1:18" x14ac:dyDescent="0.35">
      <c r="A4" s="187" t="s">
        <v>2363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/>
      <c r="P4"/>
      <c r="Q4"/>
      <c r="R4"/>
    </row>
    <row r="5" spans="1:18" x14ac:dyDescent="0.35">
      <c r="A5" s="177" t="s">
        <v>911</v>
      </c>
      <c r="B5" s="177" t="s">
        <v>831</v>
      </c>
      <c r="C5" s="177" t="s">
        <v>2060</v>
      </c>
      <c r="D5" s="177" t="s">
        <v>912</v>
      </c>
      <c r="E5" s="177"/>
      <c r="F5" s="177" t="s">
        <v>913</v>
      </c>
      <c r="G5" s="177" t="s">
        <v>914</v>
      </c>
      <c r="H5" s="177"/>
      <c r="I5" s="180">
        <v>45394</v>
      </c>
      <c r="J5" s="177">
        <v>2024</v>
      </c>
      <c r="K5" s="177" t="s">
        <v>78</v>
      </c>
      <c r="L5" s="179" t="s">
        <v>79</v>
      </c>
      <c r="M5" s="177"/>
      <c r="N5" s="177" t="s">
        <v>913</v>
      </c>
      <c r="O5"/>
      <c r="P5"/>
      <c r="Q5"/>
      <c r="R5"/>
    </row>
    <row r="6" spans="1:18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300"/>
  <sheetViews>
    <sheetView showGridLines="0" zoomScale="57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59.1796875" style="19" bestFit="1" customWidth="1"/>
    <col min="2" max="2" width="52.453125" style="19" bestFit="1" customWidth="1"/>
    <col min="3" max="3" width="40.1796875" style="19" bestFit="1" customWidth="1"/>
    <col min="4" max="4" width="73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6" style="19" bestFit="1" customWidth="1"/>
    <col min="17" max="17" width="34.6328125" style="19" bestFit="1" customWidth="1"/>
    <col min="18" max="18" width="26.453125" style="19" bestFit="1" customWidth="1"/>
    <col min="19" max="16384" width="8.90625" style="19"/>
  </cols>
  <sheetData>
    <row r="1" spans="1:18" x14ac:dyDescent="0.35">
      <c r="A1" s="284" t="s">
        <v>1750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4" t="s">
        <v>1773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/>
      <c r="P3"/>
      <c r="Q3"/>
      <c r="R3"/>
    </row>
    <row r="4" spans="1:18" x14ac:dyDescent="0.35">
      <c r="A4" s="189" t="s">
        <v>2350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/>
      <c r="P4"/>
      <c r="Q4"/>
      <c r="R4"/>
    </row>
    <row r="5" spans="1:18" x14ac:dyDescent="0.35">
      <c r="A5" s="177" t="s">
        <v>1314</v>
      </c>
      <c r="B5" s="177" t="s">
        <v>1274</v>
      </c>
      <c r="C5" s="177" t="s">
        <v>2112</v>
      </c>
      <c r="D5" s="177" t="s">
        <v>1315</v>
      </c>
      <c r="E5" s="177"/>
      <c r="F5" s="177" t="s">
        <v>1316</v>
      </c>
      <c r="G5" s="177">
        <v>73756</v>
      </c>
      <c r="H5" s="177"/>
      <c r="I5" s="177" t="s">
        <v>1317</v>
      </c>
      <c r="J5" s="177">
        <v>2025</v>
      </c>
      <c r="K5" s="177" t="s">
        <v>78</v>
      </c>
      <c r="L5" s="179" t="s">
        <v>79</v>
      </c>
      <c r="M5" s="177"/>
      <c r="N5" s="177" t="s">
        <v>1316</v>
      </c>
      <c r="O5"/>
      <c r="P5"/>
      <c r="Q5"/>
      <c r="R5"/>
    </row>
    <row r="6" spans="1:18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300"/>
  <sheetViews>
    <sheetView showGridLines="0" zoomScale="45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68.6328125" style="19" bestFit="1" customWidth="1"/>
    <col min="2" max="2" width="45.90625" style="19" bestFit="1" customWidth="1"/>
    <col min="3" max="3" width="60.1796875" style="19" bestFit="1" customWidth="1"/>
    <col min="4" max="4" width="136.81640625" style="19" bestFit="1" customWidth="1"/>
    <col min="5" max="5" width="20.90625" style="19" bestFit="1" customWidth="1"/>
    <col min="6" max="6" width="23.1796875" style="19" bestFit="1" customWidth="1"/>
    <col min="7" max="7" width="16.9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6.453125" style="19" bestFit="1" customWidth="1"/>
    <col min="12" max="12" width="27.54296875" style="19" bestFit="1" customWidth="1"/>
    <col min="13" max="13" width="22.1796875" style="19" customWidth="1"/>
    <col min="14" max="14" width="25.6328125" style="19" bestFit="1" customWidth="1"/>
    <col min="15" max="15" width="8.08984375" style="19" bestFit="1" customWidth="1"/>
    <col min="16" max="16" width="15.08984375" style="19" bestFit="1" customWidth="1"/>
    <col min="17" max="17" width="34.6328125" style="19" bestFit="1" customWidth="1"/>
    <col min="18" max="18" width="26.453125" style="19" bestFit="1" customWidth="1"/>
    <col min="19" max="16384" width="8.90625" style="19"/>
  </cols>
  <sheetData>
    <row r="1" spans="1:18" x14ac:dyDescent="0.35">
      <c r="A1" s="284" t="s">
        <v>1751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6" t="s">
        <v>1767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/>
      <c r="P3"/>
      <c r="Q3"/>
      <c r="R3"/>
    </row>
    <row r="4" spans="1:18" x14ac:dyDescent="0.35">
      <c r="A4" s="190" t="s">
        <v>2381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/>
      <c r="P4"/>
      <c r="Q4"/>
      <c r="R4"/>
    </row>
    <row r="5" spans="1:18" x14ac:dyDescent="0.35">
      <c r="A5" s="177" t="s">
        <v>1604</v>
      </c>
      <c r="B5" s="177" t="s">
        <v>1451</v>
      </c>
      <c r="C5" s="177" t="s">
        <v>2140</v>
      </c>
      <c r="D5" s="177" t="s">
        <v>1605</v>
      </c>
      <c r="E5" s="177"/>
      <c r="F5" s="177" t="s">
        <v>1606</v>
      </c>
      <c r="G5" s="177">
        <v>74551</v>
      </c>
      <c r="H5" s="177"/>
      <c r="I5" s="177" t="s">
        <v>1607</v>
      </c>
      <c r="J5" s="177">
        <v>2026</v>
      </c>
      <c r="K5" s="177" t="s">
        <v>78</v>
      </c>
      <c r="L5" s="179" t="s">
        <v>79</v>
      </c>
      <c r="M5" s="177"/>
      <c r="N5" s="177" t="s">
        <v>1606</v>
      </c>
      <c r="O5"/>
      <c r="P5"/>
      <c r="Q5"/>
      <c r="R5"/>
    </row>
    <row r="6" spans="1:18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300"/>
  <sheetViews>
    <sheetView showGridLines="0" workbookViewId="0">
      <pane ySplit="2" topLeftCell="A3" activePane="bottomLeft" state="frozen"/>
      <selection pane="bottomLeft" sqref="A1:XFD1048576"/>
    </sheetView>
  </sheetViews>
  <sheetFormatPr baseColWidth="10" defaultColWidth="8.90625" defaultRowHeight="18" x14ac:dyDescent="0.35"/>
  <cols>
    <col min="1" max="1" width="94" style="19" bestFit="1" customWidth="1"/>
    <col min="2" max="2" width="57.1796875" style="19" bestFit="1" customWidth="1"/>
    <col min="3" max="3" width="85.90625" style="19" bestFit="1" customWidth="1"/>
    <col min="4" max="4" width="179.36328125" style="19" bestFit="1" customWidth="1"/>
    <col min="5" max="5" width="20.90625" style="19" bestFit="1" customWidth="1"/>
    <col min="6" max="6" width="36.81640625" style="19" bestFit="1" customWidth="1"/>
    <col min="7" max="8" width="255.81640625" style="19" bestFit="1" customWidth="1"/>
    <col min="9" max="9" width="19.453125" style="19" bestFit="1" customWidth="1"/>
    <col min="10" max="10" width="9.54296875" style="19" bestFit="1" customWidth="1"/>
    <col min="11" max="11" width="82.08984375" style="19" bestFit="1" customWidth="1"/>
    <col min="12" max="12" width="31.1796875" style="19" bestFit="1" customWidth="1"/>
    <col min="13" max="13" width="172.1796875" style="19" bestFit="1" customWidth="1"/>
    <col min="14" max="14" width="255.81640625" style="19" bestFit="1" customWidth="1"/>
    <col min="15" max="15" width="8.08984375" style="19" bestFit="1" customWidth="1"/>
    <col min="16" max="16" width="15.08984375" style="19" bestFit="1" customWidth="1"/>
    <col min="17" max="17" width="35.36328125" style="19" bestFit="1" customWidth="1"/>
    <col min="18" max="18" width="134.54296875" style="19" bestFit="1" customWidth="1"/>
    <col min="19" max="16384" width="8.90625" style="19"/>
  </cols>
  <sheetData>
    <row r="1" spans="1:18" x14ac:dyDescent="0.35">
      <c r="A1" s="284" t="s">
        <v>2398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2399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2401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274</v>
      </c>
      <c r="B5" s="177" t="s">
        <v>19</v>
      </c>
      <c r="C5" s="177" t="s">
        <v>1924</v>
      </c>
      <c r="D5" s="177" t="s">
        <v>275</v>
      </c>
      <c r="E5" s="177"/>
      <c r="F5" s="177" t="s">
        <v>1912</v>
      </c>
      <c r="G5" s="177" t="s">
        <v>277</v>
      </c>
      <c r="H5" s="177" t="s">
        <v>278</v>
      </c>
      <c r="I5" s="177"/>
      <c r="J5" s="177"/>
      <c r="K5" s="177" t="s">
        <v>279</v>
      </c>
      <c r="L5" s="185" t="s">
        <v>280</v>
      </c>
      <c r="M5" s="177" t="s">
        <v>281</v>
      </c>
      <c r="N5" s="177" t="s">
        <v>282</v>
      </c>
      <c r="O5"/>
      <c r="P5"/>
      <c r="Q5"/>
      <c r="R5"/>
    </row>
    <row r="6" spans="1:18" x14ac:dyDescent="0.35">
      <c r="A6" s="177" t="s">
        <v>284</v>
      </c>
      <c r="B6" s="177" t="s">
        <v>19</v>
      </c>
      <c r="C6" s="177" t="s">
        <v>1924</v>
      </c>
      <c r="D6" s="177" t="s">
        <v>285</v>
      </c>
      <c r="E6" s="177"/>
      <c r="F6" s="177" t="s">
        <v>1912</v>
      </c>
      <c r="G6" s="177" t="s">
        <v>286</v>
      </c>
      <c r="H6" s="177" t="s">
        <v>287</v>
      </c>
      <c r="I6" s="177"/>
      <c r="J6" s="177"/>
      <c r="K6" s="177" t="s">
        <v>288</v>
      </c>
      <c r="L6" s="185" t="s">
        <v>280</v>
      </c>
      <c r="M6" s="177" t="s">
        <v>289</v>
      </c>
      <c r="N6" s="177" t="s">
        <v>290</v>
      </c>
      <c r="O6"/>
      <c r="P6"/>
      <c r="Q6"/>
      <c r="R6"/>
    </row>
    <row r="7" spans="1:18" x14ac:dyDescent="0.35">
      <c r="A7" s="177" t="s">
        <v>292</v>
      </c>
      <c r="B7" s="177" t="s">
        <v>19</v>
      </c>
      <c r="C7" s="177" t="s">
        <v>1924</v>
      </c>
      <c r="D7" s="177" t="s">
        <v>293</v>
      </c>
      <c r="E7" s="177"/>
      <c r="F7" s="177" t="s">
        <v>1912</v>
      </c>
      <c r="G7" s="177" t="s">
        <v>294</v>
      </c>
      <c r="H7" s="177" t="s">
        <v>295</v>
      </c>
      <c r="I7" s="177"/>
      <c r="J7" s="177"/>
      <c r="K7" s="177" t="s">
        <v>296</v>
      </c>
      <c r="L7" s="185" t="s">
        <v>280</v>
      </c>
      <c r="M7" s="177" t="s">
        <v>297</v>
      </c>
      <c r="N7" s="177" t="s">
        <v>290</v>
      </c>
      <c r="O7"/>
      <c r="P7"/>
      <c r="Q7"/>
      <c r="R7"/>
    </row>
    <row r="8" spans="1:18" x14ac:dyDescent="0.35">
      <c r="A8" s="177" t="s">
        <v>448</v>
      </c>
      <c r="B8" s="177" t="s">
        <v>19</v>
      </c>
      <c r="C8" s="177" t="s">
        <v>1924</v>
      </c>
      <c r="D8" s="177" t="s">
        <v>449</v>
      </c>
      <c r="E8" s="177"/>
      <c r="F8" s="177" t="s">
        <v>1912</v>
      </c>
      <c r="G8" s="177" t="s">
        <v>450</v>
      </c>
      <c r="H8" s="177" t="s">
        <v>451</v>
      </c>
      <c r="I8" s="177"/>
      <c r="J8" s="177"/>
      <c r="K8" s="177" t="s">
        <v>302</v>
      </c>
      <c r="L8" s="185" t="s">
        <v>280</v>
      </c>
      <c r="M8" s="177" t="s">
        <v>307</v>
      </c>
      <c r="N8" s="177"/>
      <c r="O8"/>
      <c r="P8"/>
      <c r="Q8"/>
      <c r="R8"/>
    </row>
    <row r="9" spans="1:18" x14ac:dyDescent="0.35">
      <c r="A9" s="177" t="s">
        <v>298</v>
      </c>
      <c r="B9" s="177" t="s">
        <v>19</v>
      </c>
      <c r="C9" s="177" t="s">
        <v>1924</v>
      </c>
      <c r="D9" s="177" t="s">
        <v>299</v>
      </c>
      <c r="E9" s="177"/>
      <c r="F9" s="177" t="s">
        <v>1912</v>
      </c>
      <c r="G9" s="177" t="s">
        <v>300</v>
      </c>
      <c r="H9" s="177" t="s">
        <v>301</v>
      </c>
      <c r="I9" s="177"/>
      <c r="J9" s="177"/>
      <c r="K9" s="177" t="s">
        <v>302</v>
      </c>
      <c r="L9" s="185" t="s">
        <v>280</v>
      </c>
      <c r="M9" s="177" t="s">
        <v>303</v>
      </c>
      <c r="N9" s="177" t="s">
        <v>290</v>
      </c>
      <c r="O9"/>
      <c r="P9"/>
      <c r="Q9"/>
      <c r="R9"/>
    </row>
    <row r="10" spans="1:18" x14ac:dyDescent="0.35">
      <c r="A10" s="177" t="s">
        <v>304</v>
      </c>
      <c r="B10" s="177" t="s">
        <v>19</v>
      </c>
      <c r="C10" s="177" t="s">
        <v>1924</v>
      </c>
      <c r="D10" s="177" t="s">
        <v>305</v>
      </c>
      <c r="E10" s="177"/>
      <c r="F10" s="177" t="s">
        <v>1912</v>
      </c>
      <c r="G10" s="177" t="s">
        <v>283</v>
      </c>
      <c r="H10" s="177" t="s">
        <v>306</v>
      </c>
      <c r="I10" s="177"/>
      <c r="J10" s="177"/>
      <c r="K10" s="177" t="s">
        <v>302</v>
      </c>
      <c r="L10" s="185" t="s">
        <v>280</v>
      </c>
      <c r="M10" s="177" t="s">
        <v>307</v>
      </c>
      <c r="N10" s="177"/>
      <c r="O10"/>
      <c r="P10"/>
      <c r="Q10"/>
      <c r="R10"/>
    </row>
    <row r="11" spans="1:18" x14ac:dyDescent="0.35">
      <c r="A11" s="177" t="s">
        <v>487</v>
      </c>
      <c r="B11" s="177" t="s">
        <v>19</v>
      </c>
      <c r="C11" s="177" t="s">
        <v>1924</v>
      </c>
      <c r="D11" s="177" t="s">
        <v>488</v>
      </c>
      <c r="E11" s="177"/>
      <c r="F11" s="177" t="s">
        <v>1912</v>
      </c>
      <c r="G11" s="177" t="s">
        <v>489</v>
      </c>
      <c r="H11" s="177" t="s">
        <v>490</v>
      </c>
      <c r="I11" s="177"/>
      <c r="J11" s="177"/>
      <c r="K11" s="177" t="s">
        <v>302</v>
      </c>
      <c r="L11" s="185" t="s">
        <v>280</v>
      </c>
      <c r="M11" s="177" t="s">
        <v>307</v>
      </c>
      <c r="N11" s="177"/>
      <c r="O11"/>
      <c r="P11"/>
      <c r="Q11"/>
      <c r="R11"/>
    </row>
    <row r="12" spans="1:18" x14ac:dyDescent="0.35">
      <c r="A12" s="177" t="s">
        <v>492</v>
      </c>
      <c r="B12" s="177" t="s">
        <v>19</v>
      </c>
      <c r="C12" s="177" t="s">
        <v>1924</v>
      </c>
      <c r="D12" s="177" t="s">
        <v>493</v>
      </c>
      <c r="E12" s="177"/>
      <c r="F12" s="177" t="s">
        <v>1912</v>
      </c>
      <c r="G12" s="177" t="s">
        <v>321</v>
      </c>
      <c r="H12" s="177" t="s">
        <v>494</v>
      </c>
      <c r="I12" s="177"/>
      <c r="J12" s="177"/>
      <c r="K12" s="177" t="s">
        <v>302</v>
      </c>
      <c r="L12" s="185" t="s">
        <v>280</v>
      </c>
      <c r="M12" s="177" t="s">
        <v>307</v>
      </c>
      <c r="N12" s="177"/>
      <c r="O12"/>
      <c r="P12"/>
      <c r="Q12"/>
      <c r="R12"/>
    </row>
    <row r="13" spans="1:18" x14ac:dyDescent="0.35">
      <c r="A13" s="177" t="s">
        <v>495</v>
      </c>
      <c r="B13" s="177" t="s">
        <v>19</v>
      </c>
      <c r="C13" s="177" t="s">
        <v>1924</v>
      </c>
      <c r="D13" s="177" t="s">
        <v>496</v>
      </c>
      <c r="E13" s="177"/>
      <c r="F13" s="177" t="s">
        <v>1912</v>
      </c>
      <c r="G13" s="177" t="s">
        <v>497</v>
      </c>
      <c r="H13" s="177" t="s">
        <v>498</v>
      </c>
      <c r="I13" s="177"/>
      <c r="J13" s="177"/>
      <c r="K13" s="177" t="s">
        <v>499</v>
      </c>
      <c r="L13" s="185" t="s">
        <v>280</v>
      </c>
      <c r="M13" s="177" t="s">
        <v>500</v>
      </c>
      <c r="N13" s="177" t="s">
        <v>290</v>
      </c>
      <c r="O13"/>
      <c r="P13"/>
      <c r="Q13"/>
      <c r="R13"/>
    </row>
    <row r="14" spans="1:18" x14ac:dyDescent="0.35">
      <c r="A14" s="177" t="s">
        <v>501</v>
      </c>
      <c r="B14" s="177" t="s">
        <v>19</v>
      </c>
      <c r="C14" s="177" t="s">
        <v>1924</v>
      </c>
      <c r="D14" s="177" t="s">
        <v>502</v>
      </c>
      <c r="E14" s="177"/>
      <c r="F14" s="177" t="s">
        <v>1912</v>
      </c>
      <c r="G14" s="177" t="s">
        <v>503</v>
      </c>
      <c r="H14" s="177" t="s">
        <v>504</v>
      </c>
      <c r="I14" s="177"/>
      <c r="J14" s="177"/>
      <c r="K14" s="177" t="s">
        <v>326</v>
      </c>
      <c r="L14" s="185" t="s">
        <v>280</v>
      </c>
      <c r="M14" s="177" t="s">
        <v>327</v>
      </c>
      <c r="N14" s="177" t="s">
        <v>505</v>
      </c>
      <c r="O14"/>
      <c r="P14"/>
      <c r="Q14"/>
      <c r="R14"/>
    </row>
    <row r="15" spans="1:18" x14ac:dyDescent="0.35">
      <c r="A15" s="177" t="s">
        <v>308</v>
      </c>
      <c r="B15" s="177" t="s">
        <v>19</v>
      </c>
      <c r="C15" s="177" t="s">
        <v>1924</v>
      </c>
      <c r="D15" s="177" t="s">
        <v>309</v>
      </c>
      <c r="E15" s="177"/>
      <c r="F15" s="177" t="s">
        <v>1912</v>
      </c>
      <c r="G15" s="177" t="s">
        <v>310</v>
      </c>
      <c r="H15" s="177" t="s">
        <v>311</v>
      </c>
      <c r="I15" s="177"/>
      <c r="J15" s="177"/>
      <c r="K15" s="177" t="s">
        <v>302</v>
      </c>
      <c r="L15" s="185" t="s">
        <v>280</v>
      </c>
      <c r="M15" s="177" t="s">
        <v>307</v>
      </c>
      <c r="N15" s="177"/>
      <c r="O15"/>
      <c r="P15"/>
      <c r="Q15"/>
      <c r="R15"/>
    </row>
    <row r="16" spans="1:18" x14ac:dyDescent="0.35">
      <c r="A16" s="177" t="s">
        <v>539</v>
      </c>
      <c r="B16" s="177" t="s">
        <v>19</v>
      </c>
      <c r="C16" s="177" t="s">
        <v>1924</v>
      </c>
      <c r="D16" s="177" t="s">
        <v>540</v>
      </c>
      <c r="E16" s="177"/>
      <c r="F16" s="177" t="s">
        <v>1912</v>
      </c>
      <c r="G16" s="177" t="s">
        <v>541</v>
      </c>
      <c r="H16" s="177" t="s">
        <v>542</v>
      </c>
      <c r="I16" s="177"/>
      <c r="J16" s="177"/>
      <c r="K16" s="177" t="s">
        <v>385</v>
      </c>
      <c r="L16" s="179" t="s">
        <v>386</v>
      </c>
      <c r="M16" s="177" t="s">
        <v>528</v>
      </c>
      <c r="N16" s="177" t="s">
        <v>290</v>
      </c>
      <c r="O16"/>
      <c r="P16"/>
      <c r="Q16"/>
      <c r="R16"/>
    </row>
    <row r="17" spans="1:18" x14ac:dyDescent="0.35">
      <c r="A17" s="177" t="s">
        <v>559</v>
      </c>
      <c r="B17" s="177" t="s">
        <v>19</v>
      </c>
      <c r="C17" s="177" t="s">
        <v>1924</v>
      </c>
      <c r="D17" s="177" t="s">
        <v>560</v>
      </c>
      <c r="E17" s="177"/>
      <c r="F17" s="177" t="s">
        <v>1912</v>
      </c>
      <c r="G17" s="177" t="s">
        <v>561</v>
      </c>
      <c r="H17" s="177" t="s">
        <v>562</v>
      </c>
      <c r="I17" s="177"/>
      <c r="J17" s="177"/>
      <c r="K17" s="177" t="s">
        <v>563</v>
      </c>
      <c r="L17" s="185" t="s">
        <v>280</v>
      </c>
      <c r="M17" s="177" t="s">
        <v>564</v>
      </c>
      <c r="N17" s="177" t="s">
        <v>282</v>
      </c>
      <c r="O17"/>
      <c r="P17"/>
      <c r="Q17"/>
      <c r="R17"/>
    </row>
    <row r="18" spans="1:18" x14ac:dyDescent="0.35">
      <c r="A18" s="177" t="s">
        <v>316</v>
      </c>
      <c r="B18" s="177" t="s">
        <v>19</v>
      </c>
      <c r="C18" s="177" t="s">
        <v>1924</v>
      </c>
      <c r="D18" s="177" t="s">
        <v>317</v>
      </c>
      <c r="E18" s="177"/>
      <c r="F18" s="177" t="s">
        <v>1912</v>
      </c>
      <c r="G18" s="177" t="s">
        <v>318</v>
      </c>
      <c r="H18" s="177" t="s">
        <v>319</v>
      </c>
      <c r="I18" s="177"/>
      <c r="J18" s="177"/>
      <c r="K18" s="177" t="s">
        <v>302</v>
      </c>
      <c r="L18" s="185" t="s">
        <v>280</v>
      </c>
      <c r="M18" s="177" t="s">
        <v>320</v>
      </c>
      <c r="N18" s="177" t="s">
        <v>290</v>
      </c>
      <c r="O18"/>
      <c r="P18"/>
      <c r="Q18"/>
      <c r="R18"/>
    </row>
    <row r="19" spans="1:18" x14ac:dyDescent="0.35">
      <c r="A19" s="177" t="s">
        <v>322</v>
      </c>
      <c r="B19" s="177" t="s">
        <v>19</v>
      </c>
      <c r="C19" s="177" t="s">
        <v>1924</v>
      </c>
      <c r="D19" s="177" t="s">
        <v>323</v>
      </c>
      <c r="E19" s="177"/>
      <c r="F19" s="177" t="s">
        <v>1912</v>
      </c>
      <c r="G19" s="177" t="s">
        <v>324</v>
      </c>
      <c r="H19" s="177" t="s">
        <v>325</v>
      </c>
      <c r="I19" s="177"/>
      <c r="J19" s="177"/>
      <c r="K19" s="177" t="s">
        <v>326</v>
      </c>
      <c r="L19" s="185" t="s">
        <v>280</v>
      </c>
      <c r="M19" s="177" t="s">
        <v>327</v>
      </c>
      <c r="N19" s="177" t="s">
        <v>328</v>
      </c>
      <c r="O19"/>
      <c r="P19"/>
      <c r="Q19"/>
      <c r="R19"/>
    </row>
    <row r="20" spans="1:18" x14ac:dyDescent="0.35">
      <c r="A20" s="177" t="s">
        <v>330</v>
      </c>
      <c r="B20" s="177" t="s">
        <v>19</v>
      </c>
      <c r="C20" s="177" t="s">
        <v>1924</v>
      </c>
      <c r="D20" s="177" t="s">
        <v>331</v>
      </c>
      <c r="E20" s="177"/>
      <c r="F20" s="177" t="s">
        <v>1912</v>
      </c>
      <c r="G20" s="177" t="s">
        <v>332</v>
      </c>
      <c r="H20" s="177" t="s">
        <v>333</v>
      </c>
      <c r="I20" s="177"/>
      <c r="J20" s="177"/>
      <c r="K20" s="177" t="s">
        <v>302</v>
      </c>
      <c r="L20" s="185" t="s">
        <v>280</v>
      </c>
      <c r="M20" s="177" t="s">
        <v>307</v>
      </c>
      <c r="N20" s="177"/>
      <c r="O20"/>
      <c r="P20"/>
      <c r="Q20"/>
      <c r="R20"/>
    </row>
    <row r="21" spans="1:18" x14ac:dyDescent="0.35">
      <c r="A21" s="177" t="s">
        <v>574</v>
      </c>
      <c r="B21" s="177" t="s">
        <v>19</v>
      </c>
      <c r="C21" s="177" t="s">
        <v>1924</v>
      </c>
      <c r="D21" s="177" t="s">
        <v>575</v>
      </c>
      <c r="E21" s="177"/>
      <c r="F21" s="177" t="s">
        <v>1912</v>
      </c>
      <c r="G21" s="177" t="s">
        <v>576</v>
      </c>
      <c r="H21" s="177" t="s">
        <v>577</v>
      </c>
      <c r="I21" s="177"/>
      <c r="J21" s="177"/>
      <c r="K21" s="177" t="s">
        <v>578</v>
      </c>
      <c r="L21" s="185" t="s">
        <v>280</v>
      </c>
      <c r="M21" s="177" t="s">
        <v>579</v>
      </c>
      <c r="N21" s="177" t="s">
        <v>580</v>
      </c>
      <c r="O21"/>
      <c r="P21"/>
      <c r="Q21"/>
      <c r="R21"/>
    </row>
    <row r="22" spans="1:18" x14ac:dyDescent="0.35">
      <c r="A22" s="177" t="s">
        <v>615</v>
      </c>
      <c r="B22" s="177" t="s">
        <v>19</v>
      </c>
      <c r="C22" s="177" t="s">
        <v>1924</v>
      </c>
      <c r="D22" s="177" t="s">
        <v>616</v>
      </c>
      <c r="E22" s="177"/>
      <c r="F22" s="177" t="s">
        <v>1912</v>
      </c>
      <c r="G22" s="177" t="s">
        <v>617</v>
      </c>
      <c r="H22" s="177" t="s">
        <v>618</v>
      </c>
      <c r="I22" s="177"/>
      <c r="J22" s="177"/>
      <c r="K22" s="177" t="s">
        <v>302</v>
      </c>
      <c r="L22" s="185" t="s">
        <v>280</v>
      </c>
      <c r="M22" s="177" t="s">
        <v>387</v>
      </c>
      <c r="N22" s="177" t="s">
        <v>290</v>
      </c>
      <c r="O22"/>
      <c r="P22"/>
      <c r="Q22"/>
      <c r="R22"/>
    </row>
    <row r="23" spans="1:18" x14ac:dyDescent="0.35">
      <c r="A23" s="177" t="s">
        <v>334</v>
      </c>
      <c r="B23" s="177" t="s">
        <v>19</v>
      </c>
      <c r="C23" s="177" t="s">
        <v>1924</v>
      </c>
      <c r="D23" s="177" t="s">
        <v>335</v>
      </c>
      <c r="E23" s="177"/>
      <c r="F23" s="177" t="s">
        <v>1912</v>
      </c>
      <c r="G23" s="177" t="s">
        <v>336</v>
      </c>
      <c r="H23" s="177" t="s">
        <v>337</v>
      </c>
      <c r="I23" s="177"/>
      <c r="J23" s="177"/>
      <c r="K23" s="177" t="s">
        <v>302</v>
      </c>
      <c r="L23" s="185" t="s">
        <v>280</v>
      </c>
      <c r="M23" s="177" t="s">
        <v>338</v>
      </c>
      <c r="N23" s="177" t="s">
        <v>290</v>
      </c>
      <c r="O23"/>
      <c r="P23"/>
      <c r="Q23"/>
      <c r="R23"/>
    </row>
    <row r="24" spans="1:18" x14ac:dyDescent="0.35">
      <c r="A24" s="177" t="s">
        <v>340</v>
      </c>
      <c r="B24" s="177" t="s">
        <v>19</v>
      </c>
      <c r="C24" s="177" t="s">
        <v>1924</v>
      </c>
      <c r="D24" s="177" t="s">
        <v>341</v>
      </c>
      <c r="E24" s="177"/>
      <c r="F24" s="177" t="s">
        <v>1912</v>
      </c>
      <c r="G24" s="177" t="s">
        <v>342</v>
      </c>
      <c r="H24" s="177" t="s">
        <v>343</v>
      </c>
      <c r="I24" s="177"/>
      <c r="J24" s="177"/>
      <c r="K24" s="177" t="s">
        <v>344</v>
      </c>
      <c r="L24" s="185" t="s">
        <v>280</v>
      </c>
      <c r="M24" s="177" t="s">
        <v>345</v>
      </c>
      <c r="N24" s="177" t="s">
        <v>346</v>
      </c>
      <c r="O24"/>
      <c r="P24"/>
      <c r="Q24"/>
      <c r="R24"/>
    </row>
    <row r="25" spans="1:18" x14ac:dyDescent="0.35">
      <c r="A25" s="177" t="s">
        <v>627</v>
      </c>
      <c r="B25" s="177" t="s">
        <v>19</v>
      </c>
      <c r="C25" s="177" t="s">
        <v>1924</v>
      </c>
      <c r="D25" s="177" t="s">
        <v>628</v>
      </c>
      <c r="E25" s="177"/>
      <c r="F25" s="177" t="s">
        <v>1912</v>
      </c>
      <c r="G25" s="177" t="s">
        <v>629</v>
      </c>
      <c r="H25" s="177" t="s">
        <v>630</v>
      </c>
      <c r="I25" s="177"/>
      <c r="J25" s="177"/>
      <c r="K25" s="177" t="s">
        <v>631</v>
      </c>
      <c r="L25" s="185" t="s">
        <v>280</v>
      </c>
      <c r="M25" s="177" t="s">
        <v>632</v>
      </c>
      <c r="N25" s="177" t="s">
        <v>290</v>
      </c>
      <c r="O25"/>
      <c r="P25"/>
      <c r="Q25"/>
      <c r="R25"/>
    </row>
    <row r="26" spans="1:18" x14ac:dyDescent="0.35">
      <c r="A26" s="177" t="s">
        <v>633</v>
      </c>
      <c r="B26" s="177" t="s">
        <v>19</v>
      </c>
      <c r="C26" s="177" t="s">
        <v>1924</v>
      </c>
      <c r="D26" s="177" t="s">
        <v>634</v>
      </c>
      <c r="E26" s="177"/>
      <c r="F26" s="177" t="s">
        <v>1912</v>
      </c>
      <c r="G26" s="177" t="s">
        <v>635</v>
      </c>
      <c r="H26" s="177" t="s">
        <v>636</v>
      </c>
      <c r="I26" s="177"/>
      <c r="J26" s="177"/>
      <c r="K26" s="177" t="s">
        <v>637</v>
      </c>
      <c r="L26" s="179" t="s">
        <v>386</v>
      </c>
      <c r="M26" s="177" t="s">
        <v>638</v>
      </c>
      <c r="N26" s="177" t="s">
        <v>290</v>
      </c>
      <c r="O26"/>
      <c r="P26"/>
      <c r="Q26"/>
      <c r="R26"/>
    </row>
    <row r="27" spans="1:18" x14ac:dyDescent="0.35">
      <c r="A27" s="177" t="s">
        <v>347</v>
      </c>
      <c r="B27" s="177" t="s">
        <v>19</v>
      </c>
      <c r="C27" s="177" t="s">
        <v>1924</v>
      </c>
      <c r="D27" s="177" t="s">
        <v>348</v>
      </c>
      <c r="E27" s="177"/>
      <c r="F27" s="177" t="s">
        <v>1912</v>
      </c>
      <c r="G27" s="177" t="s">
        <v>349</v>
      </c>
      <c r="H27" s="177" t="s">
        <v>350</v>
      </c>
      <c r="I27" s="177"/>
      <c r="J27" s="177"/>
      <c r="K27" s="177" t="s">
        <v>302</v>
      </c>
      <c r="L27" s="185" t="s">
        <v>280</v>
      </c>
      <c r="M27" s="177" t="s">
        <v>351</v>
      </c>
      <c r="N27" s="177" t="s">
        <v>290</v>
      </c>
      <c r="O27"/>
      <c r="P27"/>
      <c r="Q27"/>
      <c r="R27"/>
    </row>
    <row r="28" spans="1:18" x14ac:dyDescent="0.35">
      <c r="A28" s="177" t="s">
        <v>352</v>
      </c>
      <c r="B28" s="177" t="s">
        <v>19</v>
      </c>
      <c r="C28" s="177" t="s">
        <v>1924</v>
      </c>
      <c r="D28" s="177" t="s">
        <v>353</v>
      </c>
      <c r="E28" s="177"/>
      <c r="F28" s="177" t="s">
        <v>1912</v>
      </c>
      <c r="G28" s="177" t="s">
        <v>354</v>
      </c>
      <c r="H28" s="177" t="s">
        <v>355</v>
      </c>
      <c r="I28" s="177"/>
      <c r="J28" s="177"/>
      <c r="K28" s="177" t="s">
        <v>302</v>
      </c>
      <c r="L28" s="185" t="s">
        <v>280</v>
      </c>
      <c r="M28" s="177" t="s">
        <v>356</v>
      </c>
      <c r="N28" s="177" t="s">
        <v>290</v>
      </c>
      <c r="O28"/>
      <c r="P28"/>
      <c r="Q28"/>
      <c r="R28"/>
    </row>
    <row r="29" spans="1:18" x14ac:dyDescent="0.35">
      <c r="A29" s="177" t="s">
        <v>652</v>
      </c>
      <c r="B29" s="177" t="s">
        <v>19</v>
      </c>
      <c r="C29" s="177" t="s">
        <v>1924</v>
      </c>
      <c r="D29" s="177" t="s">
        <v>653</v>
      </c>
      <c r="E29" s="177"/>
      <c r="F29" s="177" t="s">
        <v>1912</v>
      </c>
      <c r="G29" s="177" t="s">
        <v>654</v>
      </c>
      <c r="H29" s="177" t="s">
        <v>655</v>
      </c>
      <c r="I29" s="177"/>
      <c r="J29" s="177"/>
      <c r="K29" s="177" t="s">
        <v>388</v>
      </c>
      <c r="L29" s="184" t="s">
        <v>61</v>
      </c>
      <c r="M29" s="177" t="s">
        <v>656</v>
      </c>
      <c r="N29" s="177" t="s">
        <v>657</v>
      </c>
      <c r="O29"/>
      <c r="P29"/>
      <c r="Q29"/>
      <c r="R29"/>
    </row>
    <row r="30" spans="1:18" x14ac:dyDescent="0.35">
      <c r="A30" s="177" t="s">
        <v>754</v>
      </c>
      <c r="B30" s="177" t="s">
        <v>19</v>
      </c>
      <c r="C30" s="177" t="s">
        <v>1924</v>
      </c>
      <c r="D30" s="177" t="s">
        <v>755</v>
      </c>
      <c r="E30" s="177"/>
      <c r="F30" s="177" t="s">
        <v>1912</v>
      </c>
      <c r="G30" s="177" t="s">
        <v>756</v>
      </c>
      <c r="H30" s="177" t="s">
        <v>757</v>
      </c>
      <c r="I30" s="177"/>
      <c r="J30" s="177"/>
      <c r="K30" s="177" t="s">
        <v>388</v>
      </c>
      <c r="L30" s="184" t="s">
        <v>61</v>
      </c>
      <c r="M30" s="177" t="s">
        <v>758</v>
      </c>
      <c r="N30" s="177" t="s">
        <v>759</v>
      </c>
      <c r="O30"/>
      <c r="P30"/>
      <c r="Q30"/>
      <c r="R30"/>
    </row>
    <row r="31" spans="1:18" x14ac:dyDescent="0.35">
      <c r="A31" s="177" t="s">
        <v>822</v>
      </c>
      <c r="B31" s="177" t="s">
        <v>19</v>
      </c>
      <c r="C31" s="177" t="s">
        <v>1924</v>
      </c>
      <c r="D31" s="177" t="s">
        <v>823</v>
      </c>
      <c r="E31" s="177"/>
      <c r="F31" s="177" t="s">
        <v>1912</v>
      </c>
      <c r="G31" s="177" t="s">
        <v>824</v>
      </c>
      <c r="H31" s="177" t="s">
        <v>825</v>
      </c>
      <c r="I31" s="177"/>
      <c r="J31" s="177"/>
      <c r="K31" s="177" t="s">
        <v>826</v>
      </c>
      <c r="L31" s="185" t="s">
        <v>280</v>
      </c>
      <c r="M31" s="177" t="s">
        <v>303</v>
      </c>
      <c r="N31" s="177" t="s">
        <v>290</v>
      </c>
      <c r="O31"/>
      <c r="P31"/>
      <c r="Q31"/>
      <c r="R31"/>
    </row>
    <row r="32" spans="1:18" x14ac:dyDescent="0.35">
      <c r="A32" s="183" t="s">
        <v>2402</v>
      </c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/>
      <c r="P32"/>
      <c r="Q32"/>
      <c r="R32"/>
    </row>
    <row r="33" spans="1:18" x14ac:dyDescent="0.35">
      <c r="A33" s="177" t="s">
        <v>482</v>
      </c>
      <c r="B33" s="177" t="s">
        <v>19</v>
      </c>
      <c r="C33" s="177" t="s">
        <v>1903</v>
      </c>
      <c r="D33" s="177" t="s">
        <v>483</v>
      </c>
      <c r="E33" s="177"/>
      <c r="F33" s="177" t="s">
        <v>1912</v>
      </c>
      <c r="G33" s="177" t="s">
        <v>484</v>
      </c>
      <c r="H33" s="177" t="s">
        <v>485</v>
      </c>
      <c r="I33" s="177"/>
      <c r="J33" s="177"/>
      <c r="K33" s="177" t="s">
        <v>302</v>
      </c>
      <c r="L33" s="185" t="s">
        <v>280</v>
      </c>
      <c r="M33" s="177" t="s">
        <v>307</v>
      </c>
      <c r="N33" s="177"/>
      <c r="O33"/>
      <c r="P33"/>
      <c r="Q33"/>
      <c r="R33"/>
    </row>
    <row r="34" spans="1:18" x14ac:dyDescent="0.35">
      <c r="A34" s="177" t="s">
        <v>518</v>
      </c>
      <c r="B34" s="177" t="s">
        <v>19</v>
      </c>
      <c r="C34" s="177" t="s">
        <v>1903</v>
      </c>
      <c r="D34" s="177" t="s">
        <v>519</v>
      </c>
      <c r="E34" s="177"/>
      <c r="F34" s="177" t="s">
        <v>1912</v>
      </c>
      <c r="G34" s="177" t="s">
        <v>520</v>
      </c>
      <c r="H34" s="177" t="s">
        <v>521</v>
      </c>
      <c r="I34" s="177"/>
      <c r="J34" s="177"/>
      <c r="K34" s="177" t="s">
        <v>302</v>
      </c>
      <c r="L34" s="185" t="s">
        <v>280</v>
      </c>
      <c r="M34" s="177" t="s">
        <v>522</v>
      </c>
      <c r="N34" s="177" t="s">
        <v>290</v>
      </c>
      <c r="O34"/>
      <c r="P34"/>
      <c r="Q34"/>
      <c r="R34"/>
    </row>
    <row r="35" spans="1:18" x14ac:dyDescent="0.35">
      <c r="A35" s="177" t="s">
        <v>524</v>
      </c>
      <c r="B35" s="177" t="s">
        <v>19</v>
      </c>
      <c r="C35" s="177" t="s">
        <v>1903</v>
      </c>
      <c r="D35" s="177" t="s">
        <v>525</v>
      </c>
      <c r="E35" s="177"/>
      <c r="F35" s="177" t="s">
        <v>1912</v>
      </c>
      <c r="G35" s="177" t="s">
        <v>526</v>
      </c>
      <c r="H35" s="177" t="s">
        <v>527</v>
      </c>
      <c r="I35" s="177"/>
      <c r="J35" s="177"/>
      <c r="K35" s="177" t="s">
        <v>302</v>
      </c>
      <c r="L35" s="185" t="s">
        <v>280</v>
      </c>
      <c r="M35" s="177" t="s">
        <v>528</v>
      </c>
      <c r="N35" s="177" t="s">
        <v>290</v>
      </c>
      <c r="O35"/>
      <c r="P35"/>
      <c r="Q35"/>
      <c r="R35"/>
    </row>
    <row r="36" spans="1:18" x14ac:dyDescent="0.35">
      <c r="A36" s="177" t="s">
        <v>529</v>
      </c>
      <c r="B36" s="177" t="s">
        <v>19</v>
      </c>
      <c r="C36" s="177" t="s">
        <v>1903</v>
      </c>
      <c r="D36" s="177" t="s">
        <v>530</v>
      </c>
      <c r="E36" s="177"/>
      <c r="F36" s="177" t="s">
        <v>1912</v>
      </c>
      <c r="G36" s="177" t="s">
        <v>531</v>
      </c>
      <c r="H36" s="177" t="s">
        <v>532</v>
      </c>
      <c r="I36" s="177"/>
      <c r="J36" s="177"/>
      <c r="K36" s="177" t="s">
        <v>302</v>
      </c>
      <c r="L36" s="185" t="s">
        <v>280</v>
      </c>
      <c r="M36" s="177" t="s">
        <v>533</v>
      </c>
      <c r="N36" s="177" t="s">
        <v>290</v>
      </c>
      <c r="O36"/>
      <c r="P36"/>
      <c r="Q36"/>
      <c r="R36"/>
    </row>
    <row r="37" spans="1:18" x14ac:dyDescent="0.35">
      <c r="A37" s="177" t="s">
        <v>534</v>
      </c>
      <c r="B37" s="177" t="s">
        <v>19</v>
      </c>
      <c r="C37" s="177" t="s">
        <v>1903</v>
      </c>
      <c r="D37" s="177" t="s">
        <v>535</v>
      </c>
      <c r="E37" s="177"/>
      <c r="F37" s="177" t="s">
        <v>1912</v>
      </c>
      <c r="G37" s="177" t="s">
        <v>536</v>
      </c>
      <c r="H37" s="177" t="s">
        <v>537</v>
      </c>
      <c r="I37" s="177"/>
      <c r="J37" s="177"/>
      <c r="K37" s="177" t="s">
        <v>385</v>
      </c>
      <c r="L37" s="179" t="s">
        <v>386</v>
      </c>
      <c r="M37" s="177" t="s">
        <v>528</v>
      </c>
      <c r="N37" s="177" t="s">
        <v>538</v>
      </c>
      <c r="O37"/>
      <c r="P37"/>
      <c r="Q37"/>
      <c r="R37"/>
    </row>
    <row r="38" spans="1:18" x14ac:dyDescent="0.35">
      <c r="A38" s="177" t="s">
        <v>543</v>
      </c>
      <c r="B38" s="177" t="s">
        <v>19</v>
      </c>
      <c r="C38" s="177" t="s">
        <v>1903</v>
      </c>
      <c r="D38" s="177" t="s">
        <v>544</v>
      </c>
      <c r="E38" s="177"/>
      <c r="F38" s="177" t="s">
        <v>1912</v>
      </c>
      <c r="G38" s="177" t="s">
        <v>545</v>
      </c>
      <c r="H38" s="177" t="s">
        <v>546</v>
      </c>
      <c r="I38" s="177"/>
      <c r="J38" s="177"/>
      <c r="K38" s="177" t="s">
        <v>302</v>
      </c>
      <c r="L38" s="185" t="s">
        <v>280</v>
      </c>
      <c r="M38" s="177" t="s">
        <v>547</v>
      </c>
      <c r="N38" s="177" t="s">
        <v>290</v>
      </c>
      <c r="O38"/>
      <c r="P38"/>
      <c r="Q38"/>
      <c r="R38"/>
    </row>
    <row r="39" spans="1:18" x14ac:dyDescent="0.35">
      <c r="A39" s="177" t="s">
        <v>565</v>
      </c>
      <c r="B39" s="177" t="s">
        <v>19</v>
      </c>
      <c r="C39" s="177" t="s">
        <v>1903</v>
      </c>
      <c r="D39" s="177" t="s">
        <v>566</v>
      </c>
      <c r="E39" s="177"/>
      <c r="F39" s="177" t="s">
        <v>1912</v>
      </c>
      <c r="G39" s="177" t="s">
        <v>567</v>
      </c>
      <c r="H39" s="177" t="s">
        <v>568</v>
      </c>
      <c r="I39" s="177"/>
      <c r="J39" s="177"/>
      <c r="K39" s="177" t="s">
        <v>302</v>
      </c>
      <c r="L39" s="185" t="s">
        <v>280</v>
      </c>
      <c r="M39" s="177" t="s">
        <v>569</v>
      </c>
      <c r="N39" s="177" t="s">
        <v>290</v>
      </c>
      <c r="O39"/>
      <c r="P39"/>
      <c r="Q39"/>
      <c r="R39"/>
    </row>
    <row r="40" spans="1:18" x14ac:dyDescent="0.35">
      <c r="A40" s="177" t="s">
        <v>611</v>
      </c>
      <c r="B40" s="177" t="s">
        <v>19</v>
      </c>
      <c r="C40" s="177" t="s">
        <v>1903</v>
      </c>
      <c r="D40" s="177" t="s">
        <v>612</v>
      </c>
      <c r="E40" s="177"/>
      <c r="F40" s="177" t="s">
        <v>1912</v>
      </c>
      <c r="G40" s="177" t="s">
        <v>613</v>
      </c>
      <c r="H40" s="177" t="s">
        <v>614</v>
      </c>
      <c r="I40" s="177"/>
      <c r="J40" s="177"/>
      <c r="K40" s="177" t="s">
        <v>302</v>
      </c>
      <c r="L40" s="185" t="s">
        <v>280</v>
      </c>
      <c r="M40" s="177" t="s">
        <v>387</v>
      </c>
      <c r="N40" s="177" t="s">
        <v>290</v>
      </c>
      <c r="O40"/>
      <c r="P40"/>
      <c r="Q40"/>
      <c r="R40"/>
    </row>
    <row r="41" spans="1:18" x14ac:dyDescent="0.35">
      <c r="A41" s="177" t="s">
        <v>619</v>
      </c>
      <c r="B41" s="177" t="s">
        <v>19</v>
      </c>
      <c r="C41" s="177" t="s">
        <v>1903</v>
      </c>
      <c r="D41" s="177" t="s">
        <v>620</v>
      </c>
      <c r="E41" s="177"/>
      <c r="F41" s="177" t="s">
        <v>1912</v>
      </c>
      <c r="G41" s="177" t="s">
        <v>621</v>
      </c>
      <c r="H41" s="177" t="s">
        <v>622</v>
      </c>
      <c r="I41" s="177"/>
      <c r="J41" s="177"/>
      <c r="K41" s="177" t="s">
        <v>302</v>
      </c>
      <c r="L41" s="185" t="s">
        <v>280</v>
      </c>
      <c r="M41" s="177" t="s">
        <v>338</v>
      </c>
      <c r="N41" s="177" t="s">
        <v>290</v>
      </c>
      <c r="O41"/>
      <c r="P41"/>
      <c r="Q41"/>
      <c r="R41"/>
    </row>
    <row r="42" spans="1:18" x14ac:dyDescent="0.35">
      <c r="A42" s="177" t="s">
        <v>623</v>
      </c>
      <c r="B42" s="177" t="s">
        <v>19</v>
      </c>
      <c r="C42" s="177" t="s">
        <v>1903</v>
      </c>
      <c r="D42" s="177" t="s">
        <v>624</v>
      </c>
      <c r="E42" s="177"/>
      <c r="F42" s="177" t="s">
        <v>1912</v>
      </c>
      <c r="G42" s="177" t="s">
        <v>625</v>
      </c>
      <c r="H42" s="177" t="s">
        <v>626</v>
      </c>
      <c r="I42" s="177"/>
      <c r="J42" s="177"/>
      <c r="K42" s="177" t="s">
        <v>302</v>
      </c>
      <c r="L42" s="185" t="s">
        <v>280</v>
      </c>
      <c r="M42" s="177" t="s">
        <v>533</v>
      </c>
      <c r="N42" s="177" t="s">
        <v>290</v>
      </c>
      <c r="O42"/>
      <c r="P42"/>
      <c r="Q42"/>
      <c r="R42"/>
    </row>
    <row r="43" spans="1:18" x14ac:dyDescent="0.35">
      <c r="A43" s="177" t="s">
        <v>644</v>
      </c>
      <c r="B43" s="177" t="s">
        <v>19</v>
      </c>
      <c r="C43" s="177" t="s">
        <v>1903</v>
      </c>
      <c r="D43" s="177" t="s">
        <v>645</v>
      </c>
      <c r="E43" s="177"/>
      <c r="F43" s="177" t="s">
        <v>1912</v>
      </c>
      <c r="G43" s="177" t="s">
        <v>646</v>
      </c>
      <c r="H43" s="177" t="s">
        <v>647</v>
      </c>
      <c r="I43" s="177"/>
      <c r="J43" s="177"/>
      <c r="K43" s="177" t="s">
        <v>388</v>
      </c>
      <c r="L43" s="184" t="s">
        <v>61</v>
      </c>
      <c r="M43" s="177" t="s">
        <v>528</v>
      </c>
      <c r="N43" s="177" t="s">
        <v>290</v>
      </c>
      <c r="O43"/>
      <c r="P43"/>
      <c r="Q43"/>
      <c r="R43"/>
    </row>
    <row r="44" spans="1:18" x14ac:dyDescent="0.35">
      <c r="A44" s="177" t="s">
        <v>816</v>
      </c>
      <c r="B44" s="177" t="s">
        <v>19</v>
      </c>
      <c r="C44" s="177" t="s">
        <v>1903</v>
      </c>
      <c r="D44" s="177" t="s">
        <v>817</v>
      </c>
      <c r="E44" s="177"/>
      <c r="F44" s="177" t="s">
        <v>1912</v>
      </c>
      <c r="G44" s="177" t="s">
        <v>818</v>
      </c>
      <c r="H44" s="177" t="s">
        <v>819</v>
      </c>
      <c r="I44" s="177"/>
      <c r="J44" s="177"/>
      <c r="K44" s="177" t="s">
        <v>388</v>
      </c>
      <c r="L44" s="184" t="s">
        <v>61</v>
      </c>
      <c r="M44" s="177" t="s">
        <v>320</v>
      </c>
      <c r="N44" s="177" t="s">
        <v>820</v>
      </c>
      <c r="O44"/>
      <c r="P44"/>
      <c r="Q44"/>
      <c r="R44"/>
    </row>
    <row r="45" spans="1:18" x14ac:dyDescent="0.35">
      <c r="A45" s="183" t="s">
        <v>2403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/>
      <c r="P45"/>
      <c r="Q45"/>
      <c r="R45"/>
    </row>
    <row r="46" spans="1:18" x14ac:dyDescent="0.35">
      <c r="A46" s="177" t="s">
        <v>507</v>
      </c>
      <c r="B46" s="177" t="s">
        <v>19</v>
      </c>
      <c r="C46" s="177" t="s">
        <v>1926</v>
      </c>
      <c r="D46" s="177" t="s">
        <v>508</v>
      </c>
      <c r="E46" s="177"/>
      <c r="F46" s="177" t="s">
        <v>1912</v>
      </c>
      <c r="G46" s="177" t="s">
        <v>509</v>
      </c>
      <c r="H46" s="177" t="s">
        <v>510</v>
      </c>
      <c r="I46" s="177"/>
      <c r="J46" s="177"/>
      <c r="K46" s="177" t="s">
        <v>302</v>
      </c>
      <c r="L46" s="185" t="s">
        <v>280</v>
      </c>
      <c r="M46" s="177" t="s">
        <v>307</v>
      </c>
      <c r="N46" s="177" t="s">
        <v>511</v>
      </c>
      <c r="O46"/>
      <c r="P46"/>
      <c r="Q46"/>
      <c r="R46"/>
    </row>
    <row r="47" spans="1:18" x14ac:dyDescent="0.35">
      <c r="A47" s="177" t="s">
        <v>639</v>
      </c>
      <c r="B47" s="177" t="s">
        <v>19</v>
      </c>
      <c r="C47" s="177" t="s">
        <v>1926</v>
      </c>
      <c r="D47" s="177" t="s">
        <v>640</v>
      </c>
      <c r="E47" s="177"/>
      <c r="F47" s="177" t="s">
        <v>1912</v>
      </c>
      <c r="G47" s="177" t="s">
        <v>641</v>
      </c>
      <c r="H47" s="177" t="s">
        <v>642</v>
      </c>
      <c r="I47" s="177"/>
      <c r="J47" s="177"/>
      <c r="K47" s="177" t="s">
        <v>499</v>
      </c>
      <c r="L47" s="185" t="s">
        <v>280</v>
      </c>
      <c r="M47" s="177" t="s">
        <v>643</v>
      </c>
      <c r="N47" s="177" t="s">
        <v>290</v>
      </c>
      <c r="O47"/>
      <c r="P47"/>
      <c r="Q47"/>
      <c r="R47"/>
    </row>
    <row r="48" spans="1:18" x14ac:dyDescent="0.35">
      <c r="A48" s="183" t="s">
        <v>2400</v>
      </c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/>
      <c r="P48"/>
      <c r="Q48"/>
      <c r="R48"/>
    </row>
    <row r="49" spans="1:18" x14ac:dyDescent="0.35">
      <c r="A49" s="183" t="s">
        <v>2404</v>
      </c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/>
      <c r="P49"/>
      <c r="Q49"/>
      <c r="R49"/>
    </row>
    <row r="50" spans="1:18" x14ac:dyDescent="0.35">
      <c r="A50" s="177" t="s">
        <v>990</v>
      </c>
      <c r="B50" s="177" t="s">
        <v>831</v>
      </c>
      <c r="C50" s="177" t="s">
        <v>2060</v>
      </c>
      <c r="D50" s="177" t="s">
        <v>768</v>
      </c>
      <c r="E50" s="177"/>
      <c r="F50" s="177" t="s">
        <v>1912</v>
      </c>
      <c r="G50" s="177" t="s">
        <v>769</v>
      </c>
      <c r="H50" s="177" t="s">
        <v>991</v>
      </c>
      <c r="I50" s="177"/>
      <c r="J50" s="177"/>
      <c r="K50" s="177" t="s">
        <v>302</v>
      </c>
      <c r="L50" s="185" t="s">
        <v>280</v>
      </c>
      <c r="M50" s="177" t="s">
        <v>360</v>
      </c>
      <c r="N50" s="177" t="s">
        <v>361</v>
      </c>
      <c r="O50"/>
      <c r="P50"/>
      <c r="Q50"/>
      <c r="R50"/>
    </row>
    <row r="51" spans="1:18" x14ac:dyDescent="0.35">
      <c r="A51" s="177" t="s">
        <v>992</v>
      </c>
      <c r="B51" s="177" t="s">
        <v>831</v>
      </c>
      <c r="C51" s="177" t="s">
        <v>2060</v>
      </c>
      <c r="D51" s="177" t="s">
        <v>762</v>
      </c>
      <c r="E51" s="177"/>
      <c r="F51" s="177" t="s">
        <v>1912</v>
      </c>
      <c r="G51" s="177" t="s">
        <v>993</v>
      </c>
      <c r="H51" s="177" t="s">
        <v>994</v>
      </c>
      <c r="I51" s="177"/>
      <c r="J51" s="177"/>
      <c r="K51" s="177" t="s">
        <v>995</v>
      </c>
      <c r="L51" s="185" t="s">
        <v>280</v>
      </c>
      <c r="M51" s="177" t="s">
        <v>996</v>
      </c>
      <c r="N51" s="177" t="s">
        <v>997</v>
      </c>
      <c r="O51"/>
      <c r="P51"/>
      <c r="Q51"/>
      <c r="R51"/>
    </row>
    <row r="52" spans="1:18" x14ac:dyDescent="0.35">
      <c r="A52" s="177" t="s">
        <v>1164</v>
      </c>
      <c r="B52" s="177" t="s">
        <v>831</v>
      </c>
      <c r="C52" s="177" t="s">
        <v>2060</v>
      </c>
      <c r="D52" s="177" t="s">
        <v>1165</v>
      </c>
      <c r="E52" s="177"/>
      <c r="F52" s="177" t="s">
        <v>1912</v>
      </c>
      <c r="G52" s="177" t="s">
        <v>567</v>
      </c>
      <c r="H52" s="177" t="s">
        <v>1166</v>
      </c>
      <c r="I52" s="177"/>
      <c r="J52" s="177"/>
      <c r="K52" s="177" t="s">
        <v>302</v>
      </c>
      <c r="L52" s="185" t="s">
        <v>280</v>
      </c>
      <c r="M52" s="177" t="s">
        <v>569</v>
      </c>
      <c r="N52" s="177" t="s">
        <v>290</v>
      </c>
      <c r="O52"/>
      <c r="P52"/>
      <c r="Q52"/>
      <c r="R52"/>
    </row>
    <row r="53" spans="1:18" x14ac:dyDescent="0.35">
      <c r="A53" s="177" t="s">
        <v>880</v>
      </c>
      <c r="B53" s="177" t="s">
        <v>831</v>
      </c>
      <c r="C53" s="177" t="s">
        <v>2060</v>
      </c>
      <c r="D53" s="177" t="s">
        <v>881</v>
      </c>
      <c r="E53" s="177"/>
      <c r="F53" s="177" t="s">
        <v>1912</v>
      </c>
      <c r="G53" s="177" t="s">
        <v>882</v>
      </c>
      <c r="H53" s="177" t="s">
        <v>883</v>
      </c>
      <c r="I53" s="177"/>
      <c r="J53" s="177"/>
      <c r="K53" s="177" t="s">
        <v>302</v>
      </c>
      <c r="L53" s="185" t="s">
        <v>280</v>
      </c>
      <c r="M53" s="177" t="s">
        <v>416</v>
      </c>
      <c r="N53" s="177" t="s">
        <v>884</v>
      </c>
      <c r="O53"/>
      <c r="P53"/>
      <c r="Q53"/>
      <c r="R53"/>
    </row>
    <row r="54" spans="1:18" x14ac:dyDescent="0.35">
      <c r="A54" s="177" t="s">
        <v>907</v>
      </c>
      <c r="B54" s="177" t="s">
        <v>831</v>
      </c>
      <c r="C54" s="177" t="s">
        <v>2060</v>
      </c>
      <c r="D54" s="177" t="s">
        <v>908</v>
      </c>
      <c r="E54" s="177"/>
      <c r="F54" s="177" t="s">
        <v>1912</v>
      </c>
      <c r="G54" s="177" t="s">
        <v>909</v>
      </c>
      <c r="H54" s="177" t="s">
        <v>910</v>
      </c>
      <c r="I54" s="177"/>
      <c r="J54" s="177"/>
      <c r="K54" s="177" t="s">
        <v>302</v>
      </c>
      <c r="L54" s="185" t="s">
        <v>280</v>
      </c>
      <c r="M54" s="177" t="s">
        <v>416</v>
      </c>
      <c r="N54" s="177" t="s">
        <v>290</v>
      </c>
      <c r="O54"/>
      <c r="P54"/>
      <c r="Q54"/>
      <c r="R54"/>
    </row>
    <row r="55" spans="1:18" x14ac:dyDescent="0.35">
      <c r="A55" s="177" t="s">
        <v>915</v>
      </c>
      <c r="B55" s="177" t="s">
        <v>831</v>
      </c>
      <c r="C55" s="177" t="s">
        <v>2060</v>
      </c>
      <c r="D55" s="177" t="s">
        <v>916</v>
      </c>
      <c r="E55" s="177"/>
      <c r="F55" s="177" t="s">
        <v>1912</v>
      </c>
      <c r="G55" s="177" t="s">
        <v>917</v>
      </c>
      <c r="H55" s="177" t="s">
        <v>918</v>
      </c>
      <c r="I55" s="177"/>
      <c r="J55" s="177"/>
      <c r="K55" s="177" t="s">
        <v>388</v>
      </c>
      <c r="L55" s="184" t="s">
        <v>61</v>
      </c>
      <c r="M55" s="177" t="s">
        <v>416</v>
      </c>
      <c r="N55" s="177" t="s">
        <v>919</v>
      </c>
      <c r="O55"/>
      <c r="P55"/>
      <c r="Q55"/>
      <c r="R55"/>
    </row>
    <row r="56" spans="1:18" x14ac:dyDescent="0.35">
      <c r="A56" s="177" t="s">
        <v>1198</v>
      </c>
      <c r="B56" s="177" t="s">
        <v>831</v>
      </c>
      <c r="C56" s="177" t="s">
        <v>2060</v>
      </c>
      <c r="D56" s="177" t="s">
        <v>1199</v>
      </c>
      <c r="E56" s="177"/>
      <c r="F56" s="177" t="s">
        <v>1912</v>
      </c>
      <c r="G56" s="177" t="s">
        <v>1200</v>
      </c>
      <c r="H56" s="177" t="s">
        <v>1201</v>
      </c>
      <c r="I56" s="177"/>
      <c r="J56" s="177"/>
      <c r="K56" s="177" t="s">
        <v>388</v>
      </c>
      <c r="L56" s="184" t="s">
        <v>61</v>
      </c>
      <c r="M56" s="177" t="s">
        <v>1202</v>
      </c>
      <c r="N56" s="177" t="s">
        <v>1203</v>
      </c>
      <c r="O56"/>
      <c r="P56"/>
      <c r="Q56"/>
      <c r="R56"/>
    </row>
    <row r="57" spans="1:18" x14ac:dyDescent="0.35">
      <c r="A57" s="177" t="s">
        <v>920</v>
      </c>
      <c r="B57" s="177" t="s">
        <v>831</v>
      </c>
      <c r="C57" s="177" t="s">
        <v>2060</v>
      </c>
      <c r="D57" s="177" t="s">
        <v>921</v>
      </c>
      <c r="E57" s="177"/>
      <c r="F57" s="177" t="s">
        <v>1912</v>
      </c>
      <c r="G57" s="177" t="s">
        <v>922</v>
      </c>
      <c r="H57" s="177" t="s">
        <v>923</v>
      </c>
      <c r="I57" s="177"/>
      <c r="J57" s="177"/>
      <c r="K57" s="177" t="s">
        <v>388</v>
      </c>
      <c r="L57" s="184" t="s">
        <v>61</v>
      </c>
      <c r="M57" s="177" t="s">
        <v>924</v>
      </c>
      <c r="N57" s="177" t="s">
        <v>925</v>
      </c>
      <c r="O57"/>
      <c r="P57"/>
      <c r="Q57"/>
      <c r="R57"/>
    </row>
    <row r="58" spans="1:18" x14ac:dyDescent="0.35">
      <c r="A58" s="177" t="s">
        <v>926</v>
      </c>
      <c r="B58" s="177" t="s">
        <v>831</v>
      </c>
      <c r="C58" s="177" t="s">
        <v>2060</v>
      </c>
      <c r="D58" s="177" t="s">
        <v>927</v>
      </c>
      <c r="E58" s="177"/>
      <c r="F58" s="177" t="s">
        <v>1912</v>
      </c>
      <c r="G58" s="177" t="s">
        <v>928</v>
      </c>
      <c r="H58" s="177" t="s">
        <v>929</v>
      </c>
      <c r="I58" s="177"/>
      <c r="J58" s="177"/>
      <c r="K58" s="177" t="s">
        <v>388</v>
      </c>
      <c r="L58" s="184" t="s">
        <v>61</v>
      </c>
      <c r="M58" s="177" t="s">
        <v>416</v>
      </c>
      <c r="N58" s="177" t="s">
        <v>895</v>
      </c>
      <c r="O58"/>
      <c r="P58"/>
      <c r="Q58"/>
      <c r="R58"/>
    </row>
    <row r="59" spans="1:18" x14ac:dyDescent="0.35">
      <c r="A59" s="177" t="s">
        <v>930</v>
      </c>
      <c r="B59" s="177" t="s">
        <v>831</v>
      </c>
      <c r="C59" s="177" t="s">
        <v>2060</v>
      </c>
      <c r="D59" s="177" t="s">
        <v>931</v>
      </c>
      <c r="E59" s="177"/>
      <c r="F59" s="177" t="s">
        <v>1912</v>
      </c>
      <c r="G59" s="177" t="s">
        <v>932</v>
      </c>
      <c r="H59" s="177" t="s">
        <v>933</v>
      </c>
      <c r="I59" s="177"/>
      <c r="J59" s="177"/>
      <c r="K59" s="177" t="s">
        <v>388</v>
      </c>
      <c r="L59" s="184" t="s">
        <v>61</v>
      </c>
      <c r="M59" s="177" t="s">
        <v>934</v>
      </c>
      <c r="N59" s="177" t="s">
        <v>935</v>
      </c>
      <c r="O59"/>
      <c r="P59"/>
      <c r="Q59"/>
      <c r="R59"/>
    </row>
    <row r="60" spans="1:18" x14ac:dyDescent="0.35">
      <c r="A60" s="177" t="s">
        <v>1214</v>
      </c>
      <c r="B60" s="177" t="s">
        <v>831</v>
      </c>
      <c r="C60" s="177" t="s">
        <v>2060</v>
      </c>
      <c r="D60" s="177" t="s">
        <v>1215</v>
      </c>
      <c r="E60" s="177"/>
      <c r="F60" s="177" t="s">
        <v>1912</v>
      </c>
      <c r="G60" s="177" t="s">
        <v>1216</v>
      </c>
      <c r="H60" s="177" t="s">
        <v>1217</v>
      </c>
      <c r="I60" s="177"/>
      <c r="J60" s="177"/>
      <c r="K60" s="177" t="s">
        <v>388</v>
      </c>
      <c r="L60" s="184" t="s">
        <v>61</v>
      </c>
      <c r="M60" s="177" t="s">
        <v>528</v>
      </c>
      <c r="N60" s="177" t="s">
        <v>1218</v>
      </c>
      <c r="O60"/>
      <c r="P60"/>
      <c r="Q60"/>
      <c r="R60"/>
    </row>
    <row r="61" spans="1:18" x14ac:dyDescent="0.35">
      <c r="A61" s="177" t="s">
        <v>1251</v>
      </c>
      <c r="B61" s="177" t="s">
        <v>831</v>
      </c>
      <c r="C61" s="177" t="s">
        <v>2060</v>
      </c>
      <c r="D61" s="177" t="s">
        <v>1252</v>
      </c>
      <c r="E61" s="177"/>
      <c r="F61" s="177" t="s">
        <v>1912</v>
      </c>
      <c r="G61" s="177" t="s">
        <v>1253</v>
      </c>
      <c r="H61" s="177" t="s">
        <v>1254</v>
      </c>
      <c r="I61" s="177"/>
      <c r="J61" s="177"/>
      <c r="K61" s="177" t="s">
        <v>826</v>
      </c>
      <c r="L61" s="185" t="s">
        <v>280</v>
      </c>
      <c r="M61" s="177" t="s">
        <v>303</v>
      </c>
      <c r="N61" s="177" t="s">
        <v>290</v>
      </c>
      <c r="O61"/>
      <c r="P61"/>
      <c r="Q61"/>
      <c r="R61"/>
    </row>
    <row r="62" spans="1:18" x14ac:dyDescent="0.35">
      <c r="A62" s="177" t="s">
        <v>1255</v>
      </c>
      <c r="B62" s="177" t="s">
        <v>831</v>
      </c>
      <c r="C62" s="177" t="s">
        <v>2060</v>
      </c>
      <c r="D62" s="177" t="s">
        <v>1256</v>
      </c>
      <c r="E62" s="177"/>
      <c r="F62" s="177" t="s">
        <v>1912</v>
      </c>
      <c r="G62" s="177" t="s">
        <v>1257</v>
      </c>
      <c r="H62" s="177" t="s">
        <v>1258</v>
      </c>
      <c r="I62" s="177"/>
      <c r="J62" s="177"/>
      <c r="K62" s="177" t="s">
        <v>388</v>
      </c>
      <c r="L62" s="184" t="s">
        <v>61</v>
      </c>
      <c r="M62" s="177" t="s">
        <v>320</v>
      </c>
      <c r="N62" s="177" t="s">
        <v>1249</v>
      </c>
      <c r="O62"/>
      <c r="P62"/>
      <c r="Q62"/>
      <c r="R62"/>
    </row>
    <row r="63" spans="1:18" x14ac:dyDescent="0.35">
      <c r="A63" s="177" t="s">
        <v>1259</v>
      </c>
      <c r="B63" s="177" t="s">
        <v>831</v>
      </c>
      <c r="C63" s="177" t="s">
        <v>2060</v>
      </c>
      <c r="D63" s="177" t="s">
        <v>1260</v>
      </c>
      <c r="E63" s="177"/>
      <c r="F63" s="177" t="s">
        <v>1912</v>
      </c>
      <c r="G63" s="177" t="s">
        <v>1261</v>
      </c>
      <c r="H63" s="177" t="s">
        <v>1262</v>
      </c>
      <c r="I63" s="177"/>
      <c r="J63" s="177"/>
      <c r="K63" s="177" t="s">
        <v>388</v>
      </c>
      <c r="L63" s="184" t="s">
        <v>61</v>
      </c>
      <c r="M63" s="177" t="s">
        <v>320</v>
      </c>
      <c r="N63" s="177" t="s">
        <v>1249</v>
      </c>
      <c r="O63"/>
      <c r="P63"/>
      <c r="Q63"/>
      <c r="R63"/>
    </row>
    <row r="64" spans="1:18" x14ac:dyDescent="0.35">
      <c r="A64" s="183" t="s">
        <v>2405</v>
      </c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/>
      <c r="P64"/>
      <c r="Q64"/>
      <c r="R64"/>
    </row>
    <row r="65" spans="1:18" x14ac:dyDescent="0.35">
      <c r="A65" s="177" t="s">
        <v>1115</v>
      </c>
      <c r="B65" s="177" t="s">
        <v>831</v>
      </c>
      <c r="C65" s="177" t="s">
        <v>2022</v>
      </c>
      <c r="D65" s="177" t="s">
        <v>1116</v>
      </c>
      <c r="E65" s="177"/>
      <c r="F65" s="177" t="s">
        <v>1912</v>
      </c>
      <c r="G65" s="177" t="s">
        <v>1117</v>
      </c>
      <c r="H65" s="177" t="s">
        <v>1118</v>
      </c>
      <c r="I65" s="177"/>
      <c r="J65" s="177"/>
      <c r="K65" s="177" t="s">
        <v>388</v>
      </c>
      <c r="L65" s="184" t="s">
        <v>61</v>
      </c>
      <c r="M65" s="177" t="s">
        <v>320</v>
      </c>
      <c r="N65" s="177" t="s">
        <v>1119</v>
      </c>
      <c r="O65"/>
      <c r="P65"/>
      <c r="Q65"/>
      <c r="R65"/>
    </row>
    <row r="66" spans="1:18" x14ac:dyDescent="0.35">
      <c r="A66" s="177" t="s">
        <v>836</v>
      </c>
      <c r="B66" s="177" t="s">
        <v>831</v>
      </c>
      <c r="C66" s="177" t="s">
        <v>2022</v>
      </c>
      <c r="D66" s="177" t="s">
        <v>837</v>
      </c>
      <c r="E66" s="177"/>
      <c r="F66" s="177" t="s">
        <v>1912</v>
      </c>
      <c r="G66" s="177" t="s">
        <v>838</v>
      </c>
      <c r="H66" s="177" t="s">
        <v>839</v>
      </c>
      <c r="I66" s="177"/>
      <c r="J66" s="177"/>
      <c r="K66" s="177" t="s">
        <v>388</v>
      </c>
      <c r="L66" s="184" t="s">
        <v>61</v>
      </c>
      <c r="M66" s="177" t="s">
        <v>547</v>
      </c>
      <c r="N66" s="177" t="s">
        <v>840</v>
      </c>
      <c r="O66"/>
      <c r="P66"/>
      <c r="Q66"/>
      <c r="R66"/>
    </row>
    <row r="67" spans="1:18" x14ac:dyDescent="0.35">
      <c r="A67" s="177" t="s">
        <v>1148</v>
      </c>
      <c r="B67" s="177" t="s">
        <v>831</v>
      </c>
      <c r="C67" s="177" t="s">
        <v>2022</v>
      </c>
      <c r="D67" s="177" t="s">
        <v>1149</v>
      </c>
      <c r="E67" s="177"/>
      <c r="F67" s="177" t="s">
        <v>1912</v>
      </c>
      <c r="G67" s="177" t="s">
        <v>1150</v>
      </c>
      <c r="H67" s="177" t="s">
        <v>1151</v>
      </c>
      <c r="I67" s="177"/>
      <c r="J67" s="177"/>
      <c r="K67" s="177" t="s">
        <v>1152</v>
      </c>
      <c r="L67" s="182" t="s">
        <v>107</v>
      </c>
      <c r="M67" s="177" t="s">
        <v>1153</v>
      </c>
      <c r="N67" s="177" t="s">
        <v>505</v>
      </c>
      <c r="O67"/>
      <c r="P67"/>
      <c r="Q67"/>
      <c r="R67"/>
    </row>
    <row r="68" spans="1:18" x14ac:dyDescent="0.35">
      <c r="A68" s="177" t="s">
        <v>1154</v>
      </c>
      <c r="B68" s="177" t="s">
        <v>831</v>
      </c>
      <c r="C68" s="177" t="s">
        <v>2022</v>
      </c>
      <c r="D68" s="177" t="s">
        <v>1155</v>
      </c>
      <c r="E68" s="177"/>
      <c r="F68" s="177" t="s">
        <v>1912</v>
      </c>
      <c r="G68" s="177" t="s">
        <v>1156</v>
      </c>
      <c r="H68" s="177" t="s">
        <v>1157</v>
      </c>
      <c r="I68" s="177"/>
      <c r="J68" s="177"/>
      <c r="K68" s="177" t="s">
        <v>302</v>
      </c>
      <c r="L68" s="185" t="s">
        <v>280</v>
      </c>
      <c r="M68" s="177" t="s">
        <v>848</v>
      </c>
      <c r="N68" s="177" t="s">
        <v>290</v>
      </c>
      <c r="O68"/>
      <c r="P68"/>
      <c r="Q68"/>
      <c r="R68"/>
    </row>
    <row r="69" spans="1:18" x14ac:dyDescent="0.35">
      <c r="A69" s="177" t="s">
        <v>1003</v>
      </c>
      <c r="B69" s="177" t="s">
        <v>831</v>
      </c>
      <c r="C69" s="177" t="s">
        <v>2022</v>
      </c>
      <c r="D69" s="177" t="s">
        <v>1004</v>
      </c>
      <c r="E69" s="177"/>
      <c r="F69" s="177" t="s">
        <v>1912</v>
      </c>
      <c r="G69" s="177" t="s">
        <v>1005</v>
      </c>
      <c r="H69" s="177" t="s">
        <v>1006</v>
      </c>
      <c r="I69" s="177"/>
      <c r="J69" s="177"/>
      <c r="K69" s="177" t="s">
        <v>832</v>
      </c>
      <c r="L69" s="181" t="s">
        <v>833</v>
      </c>
      <c r="M69" s="177" t="s">
        <v>853</v>
      </c>
      <c r="N69" s="177" t="s">
        <v>290</v>
      </c>
      <c r="O69"/>
      <c r="P69"/>
      <c r="Q69"/>
      <c r="R69"/>
    </row>
    <row r="70" spans="1:18" x14ac:dyDescent="0.35">
      <c r="A70" s="177" t="s">
        <v>1007</v>
      </c>
      <c r="B70" s="177" t="s">
        <v>831</v>
      </c>
      <c r="C70" s="177" t="s">
        <v>2022</v>
      </c>
      <c r="D70" s="177" t="s">
        <v>1008</v>
      </c>
      <c r="E70" s="177"/>
      <c r="F70" s="177" t="s">
        <v>1912</v>
      </c>
      <c r="G70" s="177" t="s">
        <v>1009</v>
      </c>
      <c r="H70" s="177" t="s">
        <v>1010</v>
      </c>
      <c r="I70" s="177"/>
      <c r="J70" s="177"/>
      <c r="K70" s="177" t="s">
        <v>302</v>
      </c>
      <c r="L70" s="185" t="s">
        <v>280</v>
      </c>
      <c r="M70" s="177" t="s">
        <v>416</v>
      </c>
      <c r="N70" s="177" t="s">
        <v>290</v>
      </c>
      <c r="O70"/>
      <c r="P70"/>
      <c r="Q70"/>
      <c r="R70"/>
    </row>
    <row r="71" spans="1:18" x14ac:dyDescent="0.35">
      <c r="A71" s="177" t="s">
        <v>1204</v>
      </c>
      <c r="B71" s="177" t="s">
        <v>831</v>
      </c>
      <c r="C71" s="177" t="s">
        <v>2022</v>
      </c>
      <c r="D71" s="177" t="s">
        <v>1205</v>
      </c>
      <c r="E71" s="177"/>
      <c r="F71" s="177" t="s">
        <v>1912</v>
      </c>
      <c r="G71" s="177" t="s">
        <v>1206</v>
      </c>
      <c r="H71" s="177" t="s">
        <v>1207</v>
      </c>
      <c r="I71" s="177"/>
      <c r="J71" s="177"/>
      <c r="K71" s="177" t="s">
        <v>388</v>
      </c>
      <c r="L71" s="184" t="s">
        <v>61</v>
      </c>
      <c r="M71" s="177" t="s">
        <v>1202</v>
      </c>
      <c r="N71" s="177" t="s">
        <v>1208</v>
      </c>
      <c r="O71"/>
      <c r="P71"/>
      <c r="Q71"/>
      <c r="R71"/>
    </row>
    <row r="72" spans="1:18" x14ac:dyDescent="0.35">
      <c r="A72" s="177" t="s">
        <v>1209</v>
      </c>
      <c r="B72" s="177" t="s">
        <v>831</v>
      </c>
      <c r="C72" s="177" t="s">
        <v>2022</v>
      </c>
      <c r="D72" s="177" t="s">
        <v>1210</v>
      </c>
      <c r="E72" s="177"/>
      <c r="F72" s="177" t="s">
        <v>1912</v>
      </c>
      <c r="G72" s="177" t="s">
        <v>1211</v>
      </c>
      <c r="H72" s="177" t="s">
        <v>1212</v>
      </c>
      <c r="I72" s="177"/>
      <c r="J72" s="177"/>
      <c r="K72" s="177" t="s">
        <v>388</v>
      </c>
      <c r="L72" s="184" t="s">
        <v>61</v>
      </c>
      <c r="M72" s="177" t="s">
        <v>528</v>
      </c>
      <c r="N72" s="177" t="s">
        <v>1213</v>
      </c>
      <c r="O72"/>
      <c r="P72"/>
      <c r="Q72"/>
      <c r="R72"/>
    </row>
    <row r="73" spans="1:18" x14ac:dyDescent="0.35">
      <c r="A73" s="177" t="s">
        <v>1263</v>
      </c>
      <c r="B73" s="177" t="s">
        <v>831</v>
      </c>
      <c r="C73" s="177" t="s">
        <v>2022</v>
      </c>
      <c r="D73" s="177" t="s">
        <v>1264</v>
      </c>
      <c r="E73" s="177"/>
      <c r="F73" s="177" t="s">
        <v>1912</v>
      </c>
      <c r="G73" s="177" t="s">
        <v>1265</v>
      </c>
      <c r="H73" s="177" t="s">
        <v>1266</v>
      </c>
      <c r="I73" s="177"/>
      <c r="J73" s="177"/>
      <c r="K73" s="177" t="s">
        <v>388</v>
      </c>
      <c r="L73" s="184" t="s">
        <v>61</v>
      </c>
      <c r="M73" s="177" t="s">
        <v>1267</v>
      </c>
      <c r="N73" s="177" t="s">
        <v>840</v>
      </c>
      <c r="O73"/>
      <c r="P73"/>
      <c r="Q73"/>
      <c r="R73"/>
    </row>
    <row r="74" spans="1:18" x14ac:dyDescent="0.35">
      <c r="A74" s="177" t="s">
        <v>1268</v>
      </c>
      <c r="B74" s="177" t="s">
        <v>831</v>
      </c>
      <c r="C74" s="177" t="s">
        <v>2022</v>
      </c>
      <c r="D74" s="177" t="s">
        <v>1269</v>
      </c>
      <c r="E74" s="177"/>
      <c r="F74" s="177" t="s">
        <v>1912</v>
      </c>
      <c r="G74" s="177" t="s">
        <v>1270</v>
      </c>
      <c r="H74" s="177" t="s">
        <v>1271</v>
      </c>
      <c r="I74" s="177"/>
      <c r="J74" s="177"/>
      <c r="K74" s="177" t="s">
        <v>388</v>
      </c>
      <c r="L74" s="184" t="s">
        <v>61</v>
      </c>
      <c r="M74" s="177" t="s">
        <v>1272</v>
      </c>
      <c r="N74" s="177" t="s">
        <v>1273</v>
      </c>
      <c r="O74"/>
      <c r="P74"/>
      <c r="Q74"/>
      <c r="R74"/>
    </row>
    <row r="75" spans="1:18" x14ac:dyDescent="0.35">
      <c r="A75" s="183" t="s">
        <v>2406</v>
      </c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/>
      <c r="P75"/>
      <c r="Q75"/>
      <c r="R75"/>
    </row>
    <row r="76" spans="1:18" x14ac:dyDescent="0.35">
      <c r="A76" s="177" t="s">
        <v>969</v>
      </c>
      <c r="B76" s="177" t="s">
        <v>831</v>
      </c>
      <c r="C76" s="177" t="s">
        <v>2065</v>
      </c>
      <c r="D76" s="177" t="s">
        <v>970</v>
      </c>
      <c r="E76" s="177"/>
      <c r="F76" s="177" t="s">
        <v>1912</v>
      </c>
      <c r="G76" s="177" t="s">
        <v>971</v>
      </c>
      <c r="H76" s="177" t="s">
        <v>972</v>
      </c>
      <c r="I76" s="177"/>
      <c r="J76" s="177"/>
      <c r="K76" s="177" t="s">
        <v>388</v>
      </c>
      <c r="L76" s="184" t="s">
        <v>61</v>
      </c>
      <c r="M76" s="177" t="s">
        <v>973</v>
      </c>
      <c r="N76" s="177" t="s">
        <v>974</v>
      </c>
      <c r="O76"/>
      <c r="P76"/>
      <c r="Q76"/>
      <c r="R76"/>
    </row>
    <row r="77" spans="1:18" x14ac:dyDescent="0.35">
      <c r="A77" s="177" t="s">
        <v>891</v>
      </c>
      <c r="B77" s="177" t="s">
        <v>831</v>
      </c>
      <c r="C77" s="177" t="s">
        <v>2065</v>
      </c>
      <c r="D77" s="177" t="s">
        <v>892</v>
      </c>
      <c r="E77" s="177"/>
      <c r="F77" s="177" t="s">
        <v>1912</v>
      </c>
      <c r="G77" s="177" t="s">
        <v>893</v>
      </c>
      <c r="H77" s="177" t="s">
        <v>894</v>
      </c>
      <c r="I77" s="177"/>
      <c r="J77" s="177"/>
      <c r="K77" s="177" t="s">
        <v>388</v>
      </c>
      <c r="L77" s="184" t="s">
        <v>61</v>
      </c>
      <c r="M77" s="177" t="s">
        <v>834</v>
      </c>
      <c r="N77" s="177" t="s">
        <v>895</v>
      </c>
      <c r="O77"/>
      <c r="P77"/>
      <c r="Q77"/>
      <c r="R77"/>
    </row>
    <row r="78" spans="1:18" x14ac:dyDescent="0.35">
      <c r="A78" s="177" t="s">
        <v>978</v>
      </c>
      <c r="B78" s="177" t="s">
        <v>831</v>
      </c>
      <c r="C78" s="177" t="s">
        <v>2065</v>
      </c>
      <c r="D78" s="177" t="s">
        <v>979</v>
      </c>
      <c r="E78" s="177"/>
      <c r="F78" s="177" t="s">
        <v>1912</v>
      </c>
      <c r="G78" s="177" t="s">
        <v>980</v>
      </c>
      <c r="H78" s="177" t="s">
        <v>981</v>
      </c>
      <c r="I78" s="177"/>
      <c r="J78" s="177"/>
      <c r="K78" s="177" t="s">
        <v>388</v>
      </c>
      <c r="L78" s="184" t="s">
        <v>61</v>
      </c>
      <c r="M78" s="177" t="s">
        <v>416</v>
      </c>
      <c r="N78" s="177" t="s">
        <v>982</v>
      </c>
      <c r="O78"/>
      <c r="P78"/>
      <c r="Q78"/>
      <c r="R78"/>
    </row>
    <row r="79" spans="1:18" x14ac:dyDescent="0.35">
      <c r="A79" s="177" t="s">
        <v>983</v>
      </c>
      <c r="B79" s="177" t="s">
        <v>831</v>
      </c>
      <c r="C79" s="177" t="s">
        <v>2065</v>
      </c>
      <c r="D79" s="177" t="s">
        <v>984</v>
      </c>
      <c r="E79" s="177"/>
      <c r="F79" s="177" t="s">
        <v>1912</v>
      </c>
      <c r="G79" s="177" t="s">
        <v>985</v>
      </c>
      <c r="H79" s="177" t="s">
        <v>986</v>
      </c>
      <c r="I79" s="177"/>
      <c r="J79" s="177"/>
      <c r="K79" s="177" t="s">
        <v>388</v>
      </c>
      <c r="L79" s="184" t="s">
        <v>61</v>
      </c>
      <c r="M79" s="177" t="s">
        <v>758</v>
      </c>
      <c r="N79" s="177" t="s">
        <v>982</v>
      </c>
      <c r="O79"/>
      <c r="P79"/>
      <c r="Q79"/>
      <c r="R79"/>
    </row>
    <row r="80" spans="1:18" x14ac:dyDescent="0.35">
      <c r="A80" s="177" t="s">
        <v>936</v>
      </c>
      <c r="B80" s="177" t="s">
        <v>831</v>
      </c>
      <c r="C80" s="177" t="s">
        <v>2065</v>
      </c>
      <c r="D80" s="177" t="s">
        <v>937</v>
      </c>
      <c r="E80" s="177"/>
      <c r="F80" s="177" t="s">
        <v>1912</v>
      </c>
      <c r="G80" s="177" t="s">
        <v>938</v>
      </c>
      <c r="H80" s="177" t="s">
        <v>939</v>
      </c>
      <c r="I80" s="177"/>
      <c r="J80" s="177"/>
      <c r="K80" s="177" t="s">
        <v>388</v>
      </c>
      <c r="L80" s="184" t="s">
        <v>61</v>
      </c>
      <c r="M80" s="177" t="s">
        <v>858</v>
      </c>
      <c r="N80" s="177" t="s">
        <v>940</v>
      </c>
      <c r="O80"/>
      <c r="P80"/>
      <c r="Q80"/>
      <c r="R80"/>
    </row>
    <row r="81" spans="1:18" x14ac:dyDescent="0.35">
      <c r="A81" s="177" t="s">
        <v>942</v>
      </c>
      <c r="B81" s="177" t="s">
        <v>831</v>
      </c>
      <c r="C81" s="177" t="s">
        <v>2065</v>
      </c>
      <c r="D81" s="177" t="s">
        <v>943</v>
      </c>
      <c r="E81" s="177"/>
      <c r="F81" s="177" t="s">
        <v>1912</v>
      </c>
      <c r="G81" s="177" t="s">
        <v>944</v>
      </c>
      <c r="H81" s="177" t="s">
        <v>945</v>
      </c>
      <c r="I81" s="177"/>
      <c r="J81" s="177"/>
      <c r="K81" s="177" t="s">
        <v>302</v>
      </c>
      <c r="L81" s="185" t="s">
        <v>280</v>
      </c>
      <c r="M81" s="177" t="s">
        <v>858</v>
      </c>
      <c r="N81" s="177" t="s">
        <v>946</v>
      </c>
      <c r="O81"/>
      <c r="P81"/>
      <c r="Q81"/>
      <c r="R81"/>
    </row>
    <row r="82" spans="1:18" x14ac:dyDescent="0.35">
      <c r="A82" s="177" t="s">
        <v>947</v>
      </c>
      <c r="B82" s="177" t="s">
        <v>831</v>
      </c>
      <c r="C82" s="177" t="s">
        <v>2065</v>
      </c>
      <c r="D82" s="177" t="s">
        <v>948</v>
      </c>
      <c r="E82" s="177"/>
      <c r="F82" s="177" t="s">
        <v>1912</v>
      </c>
      <c r="G82" s="177" t="s">
        <v>949</v>
      </c>
      <c r="H82" s="177" t="s">
        <v>950</v>
      </c>
      <c r="I82" s="177"/>
      <c r="J82" s="177"/>
      <c r="K82" s="177" t="s">
        <v>951</v>
      </c>
      <c r="L82" s="182" t="s">
        <v>107</v>
      </c>
      <c r="M82" s="177" t="s">
        <v>952</v>
      </c>
      <c r="N82" s="177" t="s">
        <v>946</v>
      </c>
      <c r="O82"/>
      <c r="P82"/>
      <c r="Q82"/>
      <c r="R82"/>
    </row>
    <row r="83" spans="1:18" x14ac:dyDescent="0.35">
      <c r="A83" s="177" t="s">
        <v>953</v>
      </c>
      <c r="B83" s="177" t="s">
        <v>831</v>
      </c>
      <c r="C83" s="177" t="s">
        <v>2065</v>
      </c>
      <c r="D83" s="177" t="s">
        <v>954</v>
      </c>
      <c r="E83" s="177"/>
      <c r="F83" s="177" t="s">
        <v>1912</v>
      </c>
      <c r="G83" s="177" t="s">
        <v>955</v>
      </c>
      <c r="H83" s="177" t="s">
        <v>956</v>
      </c>
      <c r="I83" s="177"/>
      <c r="J83" s="177"/>
      <c r="K83" s="177" t="s">
        <v>302</v>
      </c>
      <c r="L83" s="185" t="s">
        <v>280</v>
      </c>
      <c r="M83" s="177" t="s">
        <v>858</v>
      </c>
      <c r="N83" s="177" t="s">
        <v>957</v>
      </c>
      <c r="O83"/>
      <c r="P83"/>
      <c r="Q83"/>
      <c r="R83"/>
    </row>
    <row r="84" spans="1:18" x14ac:dyDescent="0.35">
      <c r="A84" s="177" t="s">
        <v>958</v>
      </c>
      <c r="B84" s="177" t="s">
        <v>831</v>
      </c>
      <c r="C84" s="177" t="s">
        <v>2065</v>
      </c>
      <c r="D84" s="177" t="s">
        <v>959</v>
      </c>
      <c r="E84" s="177"/>
      <c r="F84" s="177" t="s">
        <v>1912</v>
      </c>
      <c r="G84" s="177" t="s">
        <v>960</v>
      </c>
      <c r="H84" s="177" t="s">
        <v>961</v>
      </c>
      <c r="I84" s="177"/>
      <c r="J84" s="177"/>
      <c r="K84" s="177" t="s">
        <v>302</v>
      </c>
      <c r="L84" s="185" t="s">
        <v>280</v>
      </c>
      <c r="M84" s="177" t="s">
        <v>858</v>
      </c>
      <c r="N84" s="177" t="s">
        <v>957</v>
      </c>
      <c r="O84"/>
      <c r="P84"/>
      <c r="Q84"/>
      <c r="R84"/>
    </row>
    <row r="85" spans="1:18" x14ac:dyDescent="0.35">
      <c r="A85" s="183" t="s">
        <v>2407</v>
      </c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/>
      <c r="P85"/>
      <c r="Q85"/>
      <c r="R85"/>
    </row>
    <row r="86" spans="1:18" x14ac:dyDescent="0.35">
      <c r="A86" s="177" t="s">
        <v>844</v>
      </c>
      <c r="B86" s="177" t="s">
        <v>831</v>
      </c>
      <c r="C86" s="177" t="s">
        <v>2031</v>
      </c>
      <c r="D86" s="177" t="s">
        <v>845</v>
      </c>
      <c r="E86" s="177"/>
      <c r="F86" s="177" t="s">
        <v>1912</v>
      </c>
      <c r="G86" s="177" t="s">
        <v>846</v>
      </c>
      <c r="H86" s="177" t="s">
        <v>847</v>
      </c>
      <c r="I86" s="177"/>
      <c r="J86" s="177"/>
      <c r="K86" s="177" t="s">
        <v>388</v>
      </c>
      <c r="L86" s="184" t="s">
        <v>61</v>
      </c>
      <c r="M86" s="177" t="s">
        <v>848</v>
      </c>
      <c r="N86" s="177" t="s">
        <v>840</v>
      </c>
      <c r="O86"/>
      <c r="P86"/>
      <c r="Q86"/>
      <c r="R86"/>
    </row>
    <row r="87" spans="1:18" x14ac:dyDescent="0.35">
      <c r="A87" s="177" t="s">
        <v>849</v>
      </c>
      <c r="B87" s="177" t="s">
        <v>831</v>
      </c>
      <c r="C87" s="177" t="s">
        <v>2031</v>
      </c>
      <c r="D87" s="177" t="s">
        <v>850</v>
      </c>
      <c r="E87" s="177"/>
      <c r="F87" s="177" t="s">
        <v>1912</v>
      </c>
      <c r="G87" s="177" t="s">
        <v>851</v>
      </c>
      <c r="H87" s="177" t="s">
        <v>852</v>
      </c>
      <c r="I87" s="177"/>
      <c r="J87" s="177"/>
      <c r="K87" s="177" t="s">
        <v>388</v>
      </c>
      <c r="L87" s="184" t="s">
        <v>61</v>
      </c>
      <c r="M87" s="177" t="s">
        <v>853</v>
      </c>
      <c r="N87" s="177" t="s">
        <v>840</v>
      </c>
      <c r="O87"/>
      <c r="P87"/>
      <c r="Q87"/>
      <c r="R87"/>
    </row>
    <row r="88" spans="1:18" x14ac:dyDescent="0.35">
      <c r="A88" s="177" t="s">
        <v>854</v>
      </c>
      <c r="B88" s="177" t="s">
        <v>831</v>
      </c>
      <c r="C88" s="177" t="s">
        <v>2031</v>
      </c>
      <c r="D88" s="177" t="s">
        <v>855</v>
      </c>
      <c r="E88" s="177"/>
      <c r="F88" s="177" t="s">
        <v>1912</v>
      </c>
      <c r="G88" s="177" t="s">
        <v>856</v>
      </c>
      <c r="H88" s="177" t="s">
        <v>857</v>
      </c>
      <c r="I88" s="177"/>
      <c r="J88" s="177"/>
      <c r="K88" s="177" t="s">
        <v>388</v>
      </c>
      <c r="L88" s="184" t="s">
        <v>61</v>
      </c>
      <c r="M88" s="177" t="s">
        <v>858</v>
      </c>
      <c r="N88" s="177" t="s">
        <v>840</v>
      </c>
      <c r="O88"/>
      <c r="P88"/>
      <c r="Q88"/>
      <c r="R88"/>
    </row>
    <row r="89" spans="1:18" x14ac:dyDescent="0.35">
      <c r="A89" s="177" t="s">
        <v>1219</v>
      </c>
      <c r="B89" s="177" t="s">
        <v>831</v>
      </c>
      <c r="C89" s="177" t="s">
        <v>2031</v>
      </c>
      <c r="D89" s="177" t="s">
        <v>1220</v>
      </c>
      <c r="E89" s="177"/>
      <c r="F89" s="177" t="s">
        <v>1912</v>
      </c>
      <c r="G89" s="177" t="s">
        <v>1221</v>
      </c>
      <c r="H89" s="177" t="s">
        <v>1222</v>
      </c>
      <c r="I89" s="177"/>
      <c r="J89" s="177"/>
      <c r="K89" s="177" t="s">
        <v>388</v>
      </c>
      <c r="L89" s="184" t="s">
        <v>61</v>
      </c>
      <c r="M89" s="177" t="s">
        <v>528</v>
      </c>
      <c r="N89" s="177" t="s">
        <v>840</v>
      </c>
      <c r="O89"/>
      <c r="P89"/>
      <c r="Q89"/>
      <c r="R89"/>
    </row>
    <row r="90" spans="1:18" x14ac:dyDescent="0.35">
      <c r="A90" s="183" t="s">
        <v>2408</v>
      </c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/>
      <c r="P90"/>
      <c r="Q90"/>
      <c r="R90"/>
    </row>
    <row r="91" spans="1:18" x14ac:dyDescent="0.35">
      <c r="A91" s="177" t="s">
        <v>1158</v>
      </c>
      <c r="B91" s="177" t="s">
        <v>831</v>
      </c>
      <c r="C91" s="177" t="s">
        <v>2051</v>
      </c>
      <c r="D91" s="177" t="s">
        <v>1159</v>
      </c>
      <c r="E91" s="177"/>
      <c r="F91" s="177" t="s">
        <v>1912</v>
      </c>
      <c r="G91" s="177" t="s">
        <v>1160</v>
      </c>
      <c r="H91" s="177" t="s">
        <v>1161</v>
      </c>
      <c r="I91" s="177"/>
      <c r="J91" s="177"/>
      <c r="K91" s="177" t="s">
        <v>388</v>
      </c>
      <c r="L91" s="184" t="s">
        <v>61</v>
      </c>
      <c r="M91" s="177" t="s">
        <v>1162</v>
      </c>
      <c r="N91" s="177" t="s">
        <v>1163</v>
      </c>
      <c r="O91"/>
      <c r="P91"/>
      <c r="Q91"/>
      <c r="R91"/>
    </row>
    <row r="92" spans="1:18" x14ac:dyDescent="0.35">
      <c r="A92" s="177" t="s">
        <v>1011</v>
      </c>
      <c r="B92" s="177" t="s">
        <v>831</v>
      </c>
      <c r="C92" s="177" t="s">
        <v>2051</v>
      </c>
      <c r="D92" s="177" t="s">
        <v>1012</v>
      </c>
      <c r="E92" s="177"/>
      <c r="F92" s="177" t="s">
        <v>1912</v>
      </c>
      <c r="G92" s="177" t="s">
        <v>1013</v>
      </c>
      <c r="H92" s="177" t="s">
        <v>1014</v>
      </c>
      <c r="I92" s="177"/>
      <c r="J92" s="177"/>
      <c r="K92" s="177" t="s">
        <v>388</v>
      </c>
      <c r="L92" s="184" t="s">
        <v>61</v>
      </c>
      <c r="M92" s="177" t="s">
        <v>1015</v>
      </c>
      <c r="N92" s="177" t="s">
        <v>1016</v>
      </c>
      <c r="O92"/>
      <c r="P92"/>
      <c r="Q92"/>
      <c r="R92"/>
    </row>
    <row r="93" spans="1:18" x14ac:dyDescent="0.35">
      <c r="A93" s="177" t="s">
        <v>1035</v>
      </c>
      <c r="B93" s="177" t="s">
        <v>831</v>
      </c>
      <c r="C93" s="177" t="s">
        <v>2051</v>
      </c>
      <c r="D93" s="177" t="s">
        <v>1036</v>
      </c>
      <c r="E93" s="177"/>
      <c r="F93" s="177" t="s">
        <v>1912</v>
      </c>
      <c r="G93" s="177" t="s">
        <v>1037</v>
      </c>
      <c r="H93" s="177" t="s">
        <v>1038</v>
      </c>
      <c r="I93" s="177"/>
      <c r="J93" s="177"/>
      <c r="K93" s="177" t="s">
        <v>302</v>
      </c>
      <c r="L93" s="185" t="s">
        <v>280</v>
      </c>
      <c r="M93" s="177" t="s">
        <v>1039</v>
      </c>
      <c r="N93" s="177" t="s">
        <v>290</v>
      </c>
      <c r="O93"/>
      <c r="P93"/>
      <c r="Q93"/>
      <c r="R93"/>
    </row>
    <row r="94" spans="1:18" x14ac:dyDescent="0.35">
      <c r="A94" s="183" t="s">
        <v>2409</v>
      </c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/>
      <c r="P94"/>
      <c r="Q94"/>
      <c r="R94"/>
    </row>
    <row r="95" spans="1:18" x14ac:dyDescent="0.35">
      <c r="A95" s="177" t="s">
        <v>1121</v>
      </c>
      <c r="B95" s="177" t="s">
        <v>831</v>
      </c>
      <c r="C95" s="177" t="s">
        <v>2071</v>
      </c>
      <c r="D95" s="177" t="s">
        <v>1122</v>
      </c>
      <c r="E95" s="177"/>
      <c r="F95" s="177" t="s">
        <v>1912</v>
      </c>
      <c r="G95" s="177" t="s">
        <v>1123</v>
      </c>
      <c r="H95" s="177" t="s">
        <v>1124</v>
      </c>
      <c r="I95" s="177"/>
      <c r="J95" s="177"/>
      <c r="K95" s="177" t="s">
        <v>388</v>
      </c>
      <c r="L95" s="184" t="s">
        <v>61</v>
      </c>
      <c r="M95" s="177" t="s">
        <v>416</v>
      </c>
      <c r="N95" s="177" t="s">
        <v>1125</v>
      </c>
      <c r="O95"/>
      <c r="P95"/>
      <c r="Q95"/>
      <c r="R95"/>
    </row>
    <row r="96" spans="1:18" x14ac:dyDescent="0.35">
      <c r="A96" s="177" t="s">
        <v>1126</v>
      </c>
      <c r="B96" s="177" t="s">
        <v>831</v>
      </c>
      <c r="C96" s="177" t="s">
        <v>2071</v>
      </c>
      <c r="D96" s="177" t="s">
        <v>1127</v>
      </c>
      <c r="E96" s="177"/>
      <c r="F96" s="177" t="s">
        <v>1912</v>
      </c>
      <c r="G96" s="177" t="s">
        <v>1128</v>
      </c>
      <c r="H96" s="177" t="s">
        <v>1129</v>
      </c>
      <c r="I96" s="177"/>
      <c r="J96" s="177"/>
      <c r="K96" s="177" t="s">
        <v>388</v>
      </c>
      <c r="L96" s="184" t="s">
        <v>61</v>
      </c>
      <c r="M96" s="177" t="s">
        <v>758</v>
      </c>
      <c r="N96" s="177" t="s">
        <v>840</v>
      </c>
      <c r="O96"/>
      <c r="P96"/>
      <c r="Q96"/>
      <c r="R96"/>
    </row>
    <row r="97" spans="1:18" x14ac:dyDescent="0.35">
      <c r="A97" s="177" t="s">
        <v>1167</v>
      </c>
      <c r="B97" s="177" t="s">
        <v>831</v>
      </c>
      <c r="C97" s="177" t="s">
        <v>2071</v>
      </c>
      <c r="D97" s="177" t="s">
        <v>1168</v>
      </c>
      <c r="E97" s="177"/>
      <c r="F97" s="177" t="s">
        <v>1912</v>
      </c>
      <c r="G97" s="177" t="s">
        <v>1169</v>
      </c>
      <c r="H97" s="177" t="s">
        <v>1170</v>
      </c>
      <c r="I97" s="177"/>
      <c r="J97" s="177"/>
      <c r="K97" s="177" t="s">
        <v>388</v>
      </c>
      <c r="L97" s="184" t="s">
        <v>61</v>
      </c>
      <c r="M97" s="177" t="s">
        <v>1171</v>
      </c>
      <c r="N97" s="177" t="s">
        <v>974</v>
      </c>
      <c r="O97"/>
      <c r="P97"/>
      <c r="Q97"/>
      <c r="R97"/>
    </row>
    <row r="98" spans="1:18" x14ac:dyDescent="0.35">
      <c r="A98" s="183" t="s">
        <v>1779</v>
      </c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/>
      <c r="P98"/>
      <c r="Q98"/>
      <c r="R98"/>
    </row>
    <row r="99" spans="1:18" x14ac:dyDescent="0.35">
      <c r="A99" s="183" t="s">
        <v>2410</v>
      </c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/>
      <c r="P99"/>
      <c r="Q99"/>
      <c r="R99"/>
    </row>
    <row r="100" spans="1:18" x14ac:dyDescent="0.35">
      <c r="A100" s="177" t="s">
        <v>1275</v>
      </c>
      <c r="B100" s="177" t="s">
        <v>1274</v>
      </c>
      <c r="C100" s="177" t="s">
        <v>2112</v>
      </c>
      <c r="D100" s="177" t="s">
        <v>1276</v>
      </c>
      <c r="E100" s="177"/>
      <c r="F100" s="177" t="s">
        <v>1912</v>
      </c>
      <c r="G100" s="177" t="s">
        <v>1277</v>
      </c>
      <c r="H100" s="177" t="s">
        <v>1278</v>
      </c>
      <c r="I100" s="177"/>
      <c r="J100" s="177"/>
      <c r="K100" s="177" t="s">
        <v>835</v>
      </c>
      <c r="L100" s="185" t="s">
        <v>280</v>
      </c>
      <c r="M100" s="177" t="s">
        <v>1279</v>
      </c>
      <c r="N100" s="177" t="s">
        <v>290</v>
      </c>
      <c r="O100"/>
      <c r="P100"/>
      <c r="Q100"/>
      <c r="R100"/>
    </row>
    <row r="101" spans="1:18" x14ac:dyDescent="0.35">
      <c r="A101" s="177" t="s">
        <v>1299</v>
      </c>
      <c r="B101" s="177" t="s">
        <v>1274</v>
      </c>
      <c r="C101" s="177" t="s">
        <v>2112</v>
      </c>
      <c r="D101" s="177" t="s">
        <v>1300</v>
      </c>
      <c r="E101" s="177"/>
      <c r="F101" s="177" t="s">
        <v>1912</v>
      </c>
      <c r="G101" s="177" t="s">
        <v>1301</v>
      </c>
      <c r="H101" s="177" t="s">
        <v>1302</v>
      </c>
      <c r="I101" s="177"/>
      <c r="J101" s="177"/>
      <c r="K101" s="177" t="s">
        <v>835</v>
      </c>
      <c r="L101" s="185" t="s">
        <v>280</v>
      </c>
      <c r="M101" s="177" t="s">
        <v>1303</v>
      </c>
      <c r="N101" s="177" t="s">
        <v>290</v>
      </c>
      <c r="O101"/>
      <c r="P101"/>
      <c r="Q101"/>
      <c r="R101"/>
    </row>
    <row r="102" spans="1:18" x14ac:dyDescent="0.35">
      <c r="A102" s="177" t="s">
        <v>1304</v>
      </c>
      <c r="B102" s="177" t="s">
        <v>1274</v>
      </c>
      <c r="C102" s="177" t="s">
        <v>2112</v>
      </c>
      <c r="D102" s="177" t="s">
        <v>1305</v>
      </c>
      <c r="E102" s="177"/>
      <c r="F102" s="177" t="s">
        <v>1912</v>
      </c>
      <c r="G102" s="177" t="s">
        <v>1306</v>
      </c>
      <c r="H102" s="177" t="s">
        <v>1307</v>
      </c>
      <c r="I102" s="177"/>
      <c r="J102" s="177"/>
      <c r="K102" s="177" t="s">
        <v>302</v>
      </c>
      <c r="L102" s="185" t="s">
        <v>280</v>
      </c>
      <c r="M102" s="177" t="s">
        <v>416</v>
      </c>
      <c r="N102" s="177" t="s">
        <v>290</v>
      </c>
      <c r="O102"/>
      <c r="P102"/>
      <c r="Q102"/>
      <c r="R102"/>
    </row>
    <row r="103" spans="1:18" x14ac:dyDescent="0.35">
      <c r="A103" s="177" t="s">
        <v>1330</v>
      </c>
      <c r="B103" s="177" t="s">
        <v>1274</v>
      </c>
      <c r="C103" s="177" t="s">
        <v>2112</v>
      </c>
      <c r="D103" s="177" t="s">
        <v>1331</v>
      </c>
      <c r="E103" s="177"/>
      <c r="F103" s="177" t="s">
        <v>1912</v>
      </c>
      <c r="G103" s="177" t="s">
        <v>1332</v>
      </c>
      <c r="H103" s="177" t="s">
        <v>1333</v>
      </c>
      <c r="I103" s="177"/>
      <c r="J103" s="177"/>
      <c r="K103" s="177" t="s">
        <v>385</v>
      </c>
      <c r="L103" s="179" t="s">
        <v>386</v>
      </c>
      <c r="M103" s="177" t="s">
        <v>416</v>
      </c>
      <c r="N103" s="177" t="s">
        <v>290</v>
      </c>
      <c r="O103"/>
      <c r="P103"/>
      <c r="Q103"/>
      <c r="R103"/>
    </row>
    <row r="104" spans="1:18" x14ac:dyDescent="0.35">
      <c r="A104" s="183" t="s">
        <v>1767</v>
      </c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/>
      <c r="P104"/>
      <c r="Q104"/>
      <c r="R104"/>
    </row>
    <row r="105" spans="1:18" x14ac:dyDescent="0.35">
      <c r="A105" s="183" t="s">
        <v>2370</v>
      </c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/>
      <c r="P105"/>
      <c r="Q105"/>
      <c r="R105"/>
    </row>
    <row r="106" spans="1:18" x14ac:dyDescent="0.35">
      <c r="A106" s="177" t="s">
        <v>1492</v>
      </c>
      <c r="B106" s="177" t="s">
        <v>1451</v>
      </c>
      <c r="C106" s="177" t="s">
        <v>2130</v>
      </c>
      <c r="D106" s="177" t="s">
        <v>1493</v>
      </c>
      <c r="E106" s="177"/>
      <c r="F106" s="177" t="s">
        <v>1912</v>
      </c>
      <c r="G106" s="177" t="s">
        <v>1494</v>
      </c>
      <c r="H106" s="177" t="s">
        <v>1495</v>
      </c>
      <c r="I106" s="177"/>
      <c r="J106" s="177"/>
      <c r="K106" s="177" t="s">
        <v>835</v>
      </c>
      <c r="L106" s="185" t="s">
        <v>280</v>
      </c>
      <c r="M106" s="177" t="s">
        <v>1171</v>
      </c>
      <c r="N106" s="177" t="s">
        <v>290</v>
      </c>
      <c r="O106"/>
      <c r="P106"/>
      <c r="Q106"/>
      <c r="R106"/>
    </row>
    <row r="107" spans="1:18" x14ac:dyDescent="0.35">
      <c r="A107" s="183" t="s">
        <v>1771</v>
      </c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/>
      <c r="P107"/>
      <c r="Q107"/>
      <c r="R107"/>
    </row>
    <row r="108" spans="1:18" x14ac:dyDescent="0.35">
      <c r="A108" s="183" t="s">
        <v>2411</v>
      </c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/>
      <c r="P108"/>
      <c r="Q108"/>
      <c r="R108"/>
    </row>
    <row r="109" spans="1:18" x14ac:dyDescent="0.35">
      <c r="A109" s="177" t="s">
        <v>1657</v>
      </c>
      <c r="B109" s="177" t="s">
        <v>1617</v>
      </c>
      <c r="C109" s="177" t="s">
        <v>2224</v>
      </c>
      <c r="D109" s="177" t="s">
        <v>1658</v>
      </c>
      <c r="E109" s="177"/>
      <c r="F109" s="177" t="s">
        <v>1912</v>
      </c>
      <c r="G109" s="177" t="s">
        <v>1659</v>
      </c>
      <c r="H109" s="177" t="s">
        <v>1660</v>
      </c>
      <c r="I109" s="177"/>
      <c r="J109" s="177"/>
      <c r="K109" s="177" t="s">
        <v>385</v>
      </c>
      <c r="L109" s="179" t="s">
        <v>386</v>
      </c>
      <c r="M109" s="177" t="s">
        <v>1661</v>
      </c>
      <c r="N109" s="177" t="s">
        <v>1662</v>
      </c>
      <c r="O109"/>
      <c r="P109"/>
      <c r="Q109"/>
      <c r="R109"/>
    </row>
    <row r="110" spans="1:18" x14ac:dyDescent="0.35">
      <c r="A110" s="177" t="s">
        <v>1663</v>
      </c>
      <c r="B110" s="177" t="s">
        <v>1617</v>
      </c>
      <c r="C110" s="177" t="s">
        <v>2224</v>
      </c>
      <c r="D110" s="177" t="s">
        <v>1664</v>
      </c>
      <c r="E110" s="177"/>
      <c r="F110" s="177" t="s">
        <v>1912</v>
      </c>
      <c r="G110" s="177" t="s">
        <v>1665</v>
      </c>
      <c r="H110" s="177" t="s">
        <v>1666</v>
      </c>
      <c r="I110" s="177"/>
      <c r="J110" s="177"/>
      <c r="K110" s="177" t="s">
        <v>1667</v>
      </c>
      <c r="L110" s="182" t="s">
        <v>107</v>
      </c>
      <c r="M110" s="177" t="s">
        <v>1668</v>
      </c>
      <c r="N110" s="177" t="s">
        <v>1669</v>
      </c>
      <c r="O110"/>
      <c r="P110"/>
      <c r="Q110"/>
      <c r="R110"/>
    </row>
    <row r="111" spans="1:18" x14ac:dyDescent="0.35">
      <c r="A111" s="177" t="s">
        <v>1700</v>
      </c>
      <c r="B111" s="177" t="s">
        <v>1617</v>
      </c>
      <c r="C111" s="177" t="s">
        <v>2224</v>
      </c>
      <c r="D111" s="177" t="s">
        <v>1701</v>
      </c>
      <c r="E111" s="177"/>
      <c r="F111" s="177" t="s">
        <v>1912</v>
      </c>
      <c r="G111" s="177" t="s">
        <v>1702</v>
      </c>
      <c r="H111" s="177" t="s">
        <v>1703</v>
      </c>
      <c r="I111" s="177"/>
      <c r="J111" s="177"/>
      <c r="K111" s="177" t="s">
        <v>302</v>
      </c>
      <c r="L111" s="185" t="s">
        <v>280</v>
      </c>
      <c r="M111" s="177" t="s">
        <v>416</v>
      </c>
      <c r="N111" s="177" t="s">
        <v>1704</v>
      </c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300"/>
  <sheetViews>
    <sheetView showGridLines="0" zoomScale="56" workbookViewId="0">
      <pane ySplit="2" topLeftCell="A3" activePane="bottomLeft" state="frozen"/>
      <selection pane="bottomLeft" activeCell="A33" sqref="A33"/>
    </sheetView>
  </sheetViews>
  <sheetFormatPr baseColWidth="10" defaultColWidth="8.90625" defaultRowHeight="18" x14ac:dyDescent="0.35"/>
  <cols>
    <col min="1" max="1" width="94" style="19" bestFit="1" customWidth="1"/>
    <col min="2" max="2" width="52.453125" style="19" bestFit="1" customWidth="1"/>
    <col min="3" max="3" width="85.90625" style="19" bestFit="1" customWidth="1"/>
    <col min="4" max="4" width="237.6328125" style="19" bestFit="1" customWidth="1"/>
    <col min="5" max="5" width="20.90625" style="19" bestFit="1" customWidth="1"/>
    <col min="6" max="6" width="28.1796875" style="19" bestFit="1" customWidth="1"/>
    <col min="7" max="7" width="37.81640625" style="19" bestFit="1" customWidth="1"/>
    <col min="8" max="8" width="19" style="19" bestFit="1" customWidth="1"/>
    <col min="9" max="9" width="19.453125" style="19" bestFit="1" customWidth="1"/>
    <col min="10" max="10" width="9.54296875" style="19" bestFit="1" customWidth="1"/>
    <col min="11" max="11" width="22.6328125" style="19" bestFit="1" customWidth="1"/>
    <col min="12" max="12" width="31.1796875" style="19" bestFit="1" customWidth="1"/>
    <col min="13" max="13" width="35.90625" style="19" bestFit="1" customWidth="1"/>
    <col min="14" max="14" width="59" style="19" bestFit="1" customWidth="1"/>
    <col min="15" max="15" width="8.08984375" style="19" bestFit="1" customWidth="1"/>
    <col min="16" max="16" width="15.08984375" style="19" bestFit="1" customWidth="1"/>
    <col min="17" max="17" width="35.08984375" style="19" bestFit="1" customWidth="1"/>
    <col min="18" max="18" width="34.54296875" style="19" bestFit="1" customWidth="1"/>
    <col min="19" max="16384" width="8.90625" style="19"/>
  </cols>
  <sheetData>
    <row r="1" spans="1:18" x14ac:dyDescent="0.35">
      <c r="A1" s="284" t="s">
        <v>1752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/>
      <c r="P1"/>
      <c r="Q1"/>
      <c r="R1"/>
    </row>
    <row r="2" spans="1:18" x14ac:dyDescent="0.35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5" t="s">
        <v>13</v>
      </c>
      <c r="O2"/>
      <c r="P2"/>
      <c r="Q2"/>
      <c r="R2"/>
    </row>
    <row r="3" spans="1:18" x14ac:dyDescent="0.35">
      <c r="A3" s="192" t="s">
        <v>1780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/>
      <c r="P3"/>
      <c r="Q3"/>
      <c r="R3"/>
    </row>
    <row r="4" spans="1:18" x14ac:dyDescent="0.35">
      <c r="A4" s="176" t="s">
        <v>2412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/>
      <c r="P4"/>
      <c r="Q4"/>
      <c r="R4"/>
    </row>
    <row r="5" spans="1:18" x14ac:dyDescent="0.35">
      <c r="A5" s="177" t="s">
        <v>393</v>
      </c>
      <c r="B5" s="177" t="s">
        <v>19</v>
      </c>
      <c r="C5" s="177" t="s">
        <v>1926</v>
      </c>
      <c r="D5" s="177" t="s">
        <v>394</v>
      </c>
      <c r="E5" s="177"/>
      <c r="F5" s="177" t="s">
        <v>93</v>
      </c>
      <c r="G5" s="177" t="s">
        <v>395</v>
      </c>
      <c r="H5" s="177"/>
      <c r="I5" s="177"/>
      <c r="J5" s="177"/>
      <c r="K5" s="177" t="s">
        <v>396</v>
      </c>
      <c r="L5" s="184" t="s">
        <v>61</v>
      </c>
      <c r="M5" s="177" t="s">
        <v>397</v>
      </c>
      <c r="N5" s="177"/>
      <c r="O5"/>
      <c r="P5"/>
      <c r="Q5"/>
      <c r="R5"/>
    </row>
    <row r="6" spans="1:18" x14ac:dyDescent="0.35">
      <c r="A6" s="177" t="s">
        <v>553</v>
      </c>
      <c r="B6" s="177" t="s">
        <v>19</v>
      </c>
      <c r="C6" s="177" t="s">
        <v>1926</v>
      </c>
      <c r="D6" s="177" t="s">
        <v>554</v>
      </c>
      <c r="E6" s="177"/>
      <c r="F6" s="177" t="s">
        <v>93</v>
      </c>
      <c r="G6" s="177">
        <v>27773</v>
      </c>
      <c r="H6" s="177"/>
      <c r="I6" s="177"/>
      <c r="J6" s="177"/>
      <c r="K6" s="177" t="s">
        <v>396</v>
      </c>
      <c r="L6" s="184" t="s">
        <v>61</v>
      </c>
      <c r="M6" s="177" t="s">
        <v>94</v>
      </c>
      <c r="N6" s="177"/>
      <c r="O6"/>
      <c r="P6"/>
      <c r="Q6"/>
      <c r="R6"/>
    </row>
    <row r="7" spans="1:18" x14ac:dyDescent="0.35">
      <c r="A7" s="177" t="s">
        <v>599</v>
      </c>
      <c r="B7" s="177" t="s">
        <v>19</v>
      </c>
      <c r="C7" s="177" t="s">
        <v>1926</v>
      </c>
      <c r="D7" s="177" t="s">
        <v>600</v>
      </c>
      <c r="E7" s="177"/>
      <c r="F7" s="177" t="s">
        <v>93</v>
      </c>
      <c r="G7" s="177">
        <v>23694</v>
      </c>
      <c r="H7" s="177"/>
      <c r="I7" s="177"/>
      <c r="J7" s="177"/>
      <c r="K7" s="177" t="s">
        <v>596</v>
      </c>
      <c r="L7" s="186" t="s">
        <v>597</v>
      </c>
      <c r="M7" s="177" t="s">
        <v>94</v>
      </c>
      <c r="N7" s="177"/>
      <c r="O7"/>
      <c r="P7"/>
      <c r="Q7"/>
      <c r="R7"/>
    </row>
    <row r="8" spans="1:18" x14ac:dyDescent="0.35">
      <c r="A8" s="177" t="s">
        <v>602</v>
      </c>
      <c r="B8" s="177" t="s">
        <v>19</v>
      </c>
      <c r="C8" s="177" t="s">
        <v>1926</v>
      </c>
      <c r="D8" s="177" t="s">
        <v>603</v>
      </c>
      <c r="E8" s="177"/>
      <c r="F8" s="177" t="s">
        <v>93</v>
      </c>
      <c r="G8" s="177" t="s">
        <v>604</v>
      </c>
      <c r="H8" s="177"/>
      <c r="I8" s="177"/>
      <c r="J8" s="177"/>
      <c r="K8" s="177"/>
      <c r="L8" s="181" t="s">
        <v>23</v>
      </c>
      <c r="M8" s="177" t="s">
        <v>605</v>
      </c>
      <c r="N8" s="177"/>
      <c r="O8"/>
      <c r="P8"/>
      <c r="Q8"/>
      <c r="R8"/>
    </row>
    <row r="9" spans="1:18" x14ac:dyDescent="0.35">
      <c r="A9" s="183" t="s">
        <v>2413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/>
      <c r="P9"/>
      <c r="Q9"/>
      <c r="R9"/>
    </row>
    <row r="10" spans="1:18" x14ac:dyDescent="0.35">
      <c r="A10" s="177" t="s">
        <v>446</v>
      </c>
      <c r="B10" s="177" t="s">
        <v>19</v>
      </c>
      <c r="C10" s="177" t="s">
        <v>1903</v>
      </c>
      <c r="D10" s="177" t="s">
        <v>447</v>
      </c>
      <c r="E10" s="177"/>
      <c r="F10" s="177" t="s">
        <v>93</v>
      </c>
      <c r="G10" s="177">
        <v>650</v>
      </c>
      <c r="H10" s="177"/>
      <c r="I10" s="177"/>
      <c r="J10" s="177"/>
      <c r="K10" s="177"/>
      <c r="L10" s="181" t="s">
        <v>23</v>
      </c>
      <c r="M10" s="177"/>
      <c r="N10" s="177"/>
      <c r="O10"/>
      <c r="P10"/>
      <c r="Q10"/>
      <c r="R10"/>
    </row>
    <row r="11" spans="1:18" x14ac:dyDescent="0.35">
      <c r="A11" s="177" t="s">
        <v>679</v>
      </c>
      <c r="B11" s="177" t="s">
        <v>19</v>
      </c>
      <c r="C11" s="177" t="s">
        <v>1903</v>
      </c>
      <c r="D11" s="177" t="s">
        <v>680</v>
      </c>
      <c r="E11" s="177"/>
      <c r="F11" s="177" t="s">
        <v>93</v>
      </c>
      <c r="G11" s="177" t="s">
        <v>681</v>
      </c>
      <c r="H11" s="177"/>
      <c r="I11" s="177"/>
      <c r="J11" s="177"/>
      <c r="K11" s="177" t="s">
        <v>596</v>
      </c>
      <c r="L11" s="186" t="s">
        <v>597</v>
      </c>
      <c r="M11" s="177" t="s">
        <v>397</v>
      </c>
      <c r="N11" s="177"/>
      <c r="O11"/>
      <c r="P11"/>
      <c r="Q11"/>
      <c r="R11"/>
    </row>
    <row r="12" spans="1:18" x14ac:dyDescent="0.35">
      <c r="A12" s="177" t="s">
        <v>751</v>
      </c>
      <c r="B12" s="177" t="s">
        <v>19</v>
      </c>
      <c r="C12" s="177" t="s">
        <v>1903</v>
      </c>
      <c r="D12" s="177" t="s">
        <v>752</v>
      </c>
      <c r="E12" s="177"/>
      <c r="F12" s="177" t="s">
        <v>93</v>
      </c>
      <c r="G12" s="177">
        <v>29547</v>
      </c>
      <c r="H12" s="177"/>
      <c r="I12" s="177"/>
      <c r="J12" s="177"/>
      <c r="K12" s="177"/>
      <c r="L12" s="181" t="s">
        <v>23</v>
      </c>
      <c r="M12" s="177" t="s">
        <v>94</v>
      </c>
      <c r="N12" s="177"/>
      <c r="O12"/>
      <c r="P12"/>
      <c r="Q12"/>
      <c r="R12"/>
    </row>
    <row r="13" spans="1:18" x14ac:dyDescent="0.35">
      <c r="A13" s="183" t="s">
        <v>2388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/>
      <c r="P13"/>
      <c r="Q13"/>
      <c r="R13"/>
    </row>
    <row r="14" spans="1:18" x14ac:dyDescent="0.35">
      <c r="A14" s="177" t="s">
        <v>91</v>
      </c>
      <c r="B14" s="177" t="s">
        <v>19</v>
      </c>
      <c r="C14" s="177" t="s">
        <v>1861</v>
      </c>
      <c r="D14" s="177" t="s">
        <v>92</v>
      </c>
      <c r="E14" s="177"/>
      <c r="F14" s="177" t="s">
        <v>93</v>
      </c>
      <c r="G14" s="177">
        <v>27675</v>
      </c>
      <c r="H14" s="177"/>
      <c r="I14" s="177"/>
      <c r="J14" s="177"/>
      <c r="K14" s="177"/>
      <c r="L14" s="181" t="s">
        <v>23</v>
      </c>
      <c r="M14" s="177" t="s">
        <v>94</v>
      </c>
      <c r="N14" s="177"/>
      <c r="O14"/>
      <c r="P14"/>
      <c r="Q14"/>
      <c r="R14"/>
    </row>
    <row r="15" spans="1:18" x14ac:dyDescent="0.35">
      <c r="A15" s="183" t="s">
        <v>2414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/>
      <c r="P15"/>
      <c r="Q15"/>
      <c r="R15"/>
    </row>
    <row r="16" spans="1:18" x14ac:dyDescent="0.35">
      <c r="A16" s="177" t="s">
        <v>594</v>
      </c>
      <c r="B16" s="177" t="s">
        <v>19</v>
      </c>
      <c r="C16" s="177" t="s">
        <v>1924</v>
      </c>
      <c r="D16" s="177" t="s">
        <v>595</v>
      </c>
      <c r="E16" s="177"/>
      <c r="F16" s="177" t="s">
        <v>93</v>
      </c>
      <c r="G16" s="177">
        <v>25964</v>
      </c>
      <c r="H16" s="177"/>
      <c r="I16" s="177"/>
      <c r="J16" s="177"/>
      <c r="K16" s="177" t="s">
        <v>596</v>
      </c>
      <c r="L16" s="186" t="s">
        <v>597</v>
      </c>
      <c r="M16" s="177" t="s">
        <v>94</v>
      </c>
      <c r="N16" s="177"/>
      <c r="O16"/>
      <c r="P16"/>
      <c r="Q16"/>
      <c r="R16"/>
    </row>
    <row r="17" spans="1:18" x14ac:dyDescent="0.35">
      <c r="A17" s="183" t="s">
        <v>1781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/>
      <c r="P17"/>
      <c r="Q17"/>
      <c r="R17"/>
    </row>
    <row r="18" spans="1:18" x14ac:dyDescent="0.35">
      <c r="A18" s="183" t="s">
        <v>2415</v>
      </c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/>
      <c r="P18"/>
      <c r="Q18"/>
      <c r="R18"/>
    </row>
    <row r="19" spans="1:18" x14ac:dyDescent="0.35">
      <c r="A19" s="177" t="s">
        <v>865</v>
      </c>
      <c r="B19" s="177" t="s">
        <v>831</v>
      </c>
      <c r="C19" s="177" t="s">
        <v>2065</v>
      </c>
      <c r="D19" s="177" t="s">
        <v>866</v>
      </c>
      <c r="E19" s="177"/>
      <c r="F19" s="177" t="s">
        <v>93</v>
      </c>
      <c r="G19" s="177" t="s">
        <v>867</v>
      </c>
      <c r="H19" s="177"/>
      <c r="I19" s="177"/>
      <c r="J19" s="177"/>
      <c r="K19" s="177" t="s">
        <v>596</v>
      </c>
      <c r="L19" s="186" t="s">
        <v>597</v>
      </c>
      <c r="M19" s="177" t="s">
        <v>397</v>
      </c>
      <c r="N19" s="177"/>
      <c r="O19"/>
      <c r="P19"/>
      <c r="Q19"/>
      <c r="R19"/>
    </row>
    <row r="20" spans="1:18" x14ac:dyDescent="0.35">
      <c r="A20" s="177" t="s">
        <v>975</v>
      </c>
      <c r="B20" s="177" t="s">
        <v>831</v>
      </c>
      <c r="C20" s="177" t="s">
        <v>2065</v>
      </c>
      <c r="D20" s="177" t="s">
        <v>976</v>
      </c>
      <c r="E20" s="177"/>
      <c r="F20" s="177" t="s">
        <v>93</v>
      </c>
      <c r="G20" s="177">
        <v>25713</v>
      </c>
      <c r="H20" s="177"/>
      <c r="I20" s="177"/>
      <c r="J20" s="177"/>
      <c r="K20" s="177" t="s">
        <v>396</v>
      </c>
      <c r="L20" s="184" t="s">
        <v>61</v>
      </c>
      <c r="M20" s="177" t="s">
        <v>94</v>
      </c>
      <c r="N20" s="177"/>
      <c r="O20"/>
      <c r="P20"/>
      <c r="Q20"/>
      <c r="R20"/>
    </row>
    <row r="21" spans="1:18" x14ac:dyDescent="0.35">
      <c r="A21" s="177" t="s">
        <v>896</v>
      </c>
      <c r="B21" s="177" t="s">
        <v>831</v>
      </c>
      <c r="C21" s="177" t="s">
        <v>2065</v>
      </c>
      <c r="D21" s="177" t="s">
        <v>897</v>
      </c>
      <c r="E21" s="177"/>
      <c r="F21" s="177" t="s">
        <v>93</v>
      </c>
      <c r="G21" s="177">
        <v>26573</v>
      </c>
      <c r="H21" s="177"/>
      <c r="I21" s="177"/>
      <c r="J21" s="177"/>
      <c r="K21" s="177" t="s">
        <v>596</v>
      </c>
      <c r="L21" s="186" t="s">
        <v>597</v>
      </c>
      <c r="M21" s="177" t="s">
        <v>94</v>
      </c>
      <c r="N21" s="177"/>
      <c r="O21"/>
      <c r="P21"/>
      <c r="Q21"/>
      <c r="R21"/>
    </row>
    <row r="22" spans="1:18" x14ac:dyDescent="0.35">
      <c r="A22" s="177" t="s">
        <v>1186</v>
      </c>
      <c r="B22" s="177" t="s">
        <v>831</v>
      </c>
      <c r="C22" s="177" t="s">
        <v>2065</v>
      </c>
      <c r="D22" s="177" t="s">
        <v>1187</v>
      </c>
      <c r="E22" s="177"/>
      <c r="F22" s="177" t="s">
        <v>93</v>
      </c>
      <c r="G22" s="177">
        <v>22663</v>
      </c>
      <c r="H22" s="177"/>
      <c r="I22" s="177"/>
      <c r="J22" s="177"/>
      <c r="K22" s="177" t="s">
        <v>596</v>
      </c>
      <c r="L22" s="186" t="s">
        <v>597</v>
      </c>
      <c r="M22" s="177" t="s">
        <v>94</v>
      </c>
      <c r="N22" s="177"/>
      <c r="O22"/>
      <c r="P22"/>
      <c r="Q22"/>
      <c r="R22"/>
    </row>
    <row r="23" spans="1:18" x14ac:dyDescent="0.35">
      <c r="A23" s="183" t="s">
        <v>2416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/>
      <c r="P23"/>
      <c r="Q23"/>
      <c r="R23"/>
    </row>
    <row r="24" spans="1:18" x14ac:dyDescent="0.35">
      <c r="A24" s="177" t="s">
        <v>1133</v>
      </c>
      <c r="B24" s="177" t="s">
        <v>831</v>
      </c>
      <c r="C24" s="177" t="s">
        <v>2055</v>
      </c>
      <c r="D24" s="177" t="s">
        <v>1134</v>
      </c>
      <c r="E24" s="177"/>
      <c r="F24" s="177" t="s">
        <v>93</v>
      </c>
      <c r="G24" s="177">
        <v>22315</v>
      </c>
      <c r="H24" s="177"/>
      <c r="I24" s="177"/>
      <c r="J24" s="177"/>
      <c r="K24" s="177" t="s">
        <v>596</v>
      </c>
      <c r="L24" s="186" t="s">
        <v>597</v>
      </c>
      <c r="M24" s="177" t="s">
        <v>94</v>
      </c>
      <c r="N24" s="177"/>
      <c r="O24"/>
      <c r="P24"/>
      <c r="Q24"/>
      <c r="R24"/>
    </row>
    <row r="25" spans="1:18" x14ac:dyDescent="0.35">
      <c r="A25" s="177" t="s">
        <v>1183</v>
      </c>
      <c r="B25" s="177" t="s">
        <v>831</v>
      </c>
      <c r="C25" s="177" t="s">
        <v>2055</v>
      </c>
      <c r="D25" s="177" t="s">
        <v>1184</v>
      </c>
      <c r="E25" s="177"/>
      <c r="F25" s="177" t="s">
        <v>93</v>
      </c>
      <c r="G25" s="177">
        <v>25931</v>
      </c>
      <c r="H25" s="177"/>
      <c r="I25" s="177"/>
      <c r="J25" s="177"/>
      <c r="K25" s="177" t="s">
        <v>596</v>
      </c>
      <c r="L25" s="186" t="s">
        <v>597</v>
      </c>
      <c r="M25" s="177" t="s">
        <v>94</v>
      </c>
      <c r="N25" s="177"/>
      <c r="O25"/>
      <c r="P25"/>
      <c r="Q25"/>
      <c r="R25"/>
    </row>
    <row r="26" spans="1:18" x14ac:dyDescent="0.35">
      <c r="A26" s="183" t="s">
        <v>2417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/>
      <c r="P26"/>
      <c r="Q26"/>
      <c r="R26"/>
    </row>
    <row r="27" spans="1:18" x14ac:dyDescent="0.35">
      <c r="A27" s="177" t="s">
        <v>869</v>
      </c>
      <c r="B27" s="177" t="s">
        <v>831</v>
      </c>
      <c r="C27" s="177" t="s">
        <v>2060</v>
      </c>
      <c r="D27" s="177" t="s">
        <v>870</v>
      </c>
      <c r="E27" s="177"/>
      <c r="F27" s="177" t="s">
        <v>93</v>
      </c>
      <c r="G27" s="177">
        <v>31827</v>
      </c>
      <c r="H27" s="177"/>
      <c r="I27" s="177"/>
      <c r="J27" s="177"/>
      <c r="K27" s="177" t="s">
        <v>396</v>
      </c>
      <c r="L27" s="184" t="s">
        <v>61</v>
      </c>
      <c r="M27" s="177" t="s">
        <v>94</v>
      </c>
      <c r="N27" s="177"/>
      <c r="O27"/>
      <c r="P27"/>
      <c r="Q27"/>
      <c r="R27"/>
    </row>
    <row r="28" spans="1:18" x14ac:dyDescent="0.35">
      <c r="A28" s="177" t="s">
        <v>877</v>
      </c>
      <c r="B28" s="177" t="s">
        <v>831</v>
      </c>
      <c r="C28" s="177" t="s">
        <v>2060</v>
      </c>
      <c r="D28" s="177" t="s">
        <v>878</v>
      </c>
      <c r="E28" s="177"/>
      <c r="F28" s="177" t="s">
        <v>93</v>
      </c>
      <c r="G28" s="177">
        <v>24159</v>
      </c>
      <c r="H28" s="177"/>
      <c r="I28" s="177"/>
      <c r="J28" s="177"/>
      <c r="K28" s="177" t="s">
        <v>596</v>
      </c>
      <c r="L28" s="186" t="s">
        <v>597</v>
      </c>
      <c r="M28" s="177" t="s">
        <v>94</v>
      </c>
      <c r="N28" s="177"/>
      <c r="O28"/>
      <c r="P28"/>
      <c r="Q28"/>
      <c r="R28"/>
    </row>
    <row r="29" spans="1:18" x14ac:dyDescent="0.35">
      <c r="A29" s="183" t="s">
        <v>2418</v>
      </c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/>
      <c r="P29"/>
      <c r="Q29"/>
      <c r="R29"/>
    </row>
    <row r="30" spans="1:18" x14ac:dyDescent="0.35">
      <c r="A30" s="177" t="s">
        <v>1021</v>
      </c>
      <c r="B30" s="177" t="s">
        <v>831</v>
      </c>
      <c r="C30" s="177" t="s">
        <v>2022</v>
      </c>
      <c r="D30" s="177" t="s">
        <v>1022</v>
      </c>
      <c r="E30" s="177"/>
      <c r="F30" s="177" t="s">
        <v>93</v>
      </c>
      <c r="G30" s="177" t="s">
        <v>1023</v>
      </c>
      <c r="H30" s="177"/>
      <c r="I30" s="177"/>
      <c r="J30" s="177"/>
      <c r="K30" s="177" t="s">
        <v>596</v>
      </c>
      <c r="L30" s="186" t="s">
        <v>597</v>
      </c>
      <c r="M30" s="177" t="s">
        <v>397</v>
      </c>
      <c r="N30" s="177"/>
      <c r="O30"/>
      <c r="P30"/>
      <c r="Q30"/>
      <c r="R30"/>
    </row>
    <row r="31" spans="1:18" x14ac:dyDescent="0.35">
      <c r="A31" s="183" t="s">
        <v>2362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/>
      <c r="P31"/>
      <c r="Q31"/>
      <c r="R31"/>
    </row>
    <row r="32" spans="1:18" x14ac:dyDescent="0.35">
      <c r="A32" s="177" t="s">
        <v>987</v>
      </c>
      <c r="B32" s="177" t="s">
        <v>831</v>
      </c>
      <c r="C32" s="177" t="s">
        <v>2034</v>
      </c>
      <c r="D32" s="177" t="s">
        <v>988</v>
      </c>
      <c r="E32" s="177"/>
      <c r="F32" s="177" t="s">
        <v>93</v>
      </c>
      <c r="G32" s="177">
        <v>26726</v>
      </c>
      <c r="H32" s="177"/>
      <c r="I32" s="177"/>
      <c r="J32" s="177"/>
      <c r="K32" s="177" t="s">
        <v>596</v>
      </c>
      <c r="L32" s="186" t="s">
        <v>597</v>
      </c>
      <c r="M32" s="177" t="s">
        <v>94</v>
      </c>
      <c r="N32" s="177"/>
      <c r="O32"/>
      <c r="P32"/>
      <c r="Q32"/>
      <c r="R32"/>
    </row>
    <row r="33" spans="1:18" x14ac:dyDescent="0.35">
      <c r="A33" s="183" t="s">
        <v>2419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/>
      <c r="P33"/>
      <c r="Q33"/>
      <c r="R33"/>
    </row>
    <row r="34" spans="1:18" x14ac:dyDescent="0.35">
      <c r="A34" s="177" t="s">
        <v>1230</v>
      </c>
      <c r="B34" s="177" t="s">
        <v>831</v>
      </c>
      <c r="C34" s="177" t="s">
        <v>2071</v>
      </c>
      <c r="D34" s="177" t="s">
        <v>1231</v>
      </c>
      <c r="E34" s="177"/>
      <c r="F34" s="177" t="s">
        <v>93</v>
      </c>
      <c r="G34" s="177" t="s">
        <v>1232</v>
      </c>
      <c r="H34" s="177" t="s">
        <v>1233</v>
      </c>
      <c r="I34" s="177"/>
      <c r="J34" s="177"/>
      <c r="K34" s="177" t="s">
        <v>1234</v>
      </c>
      <c r="L34" s="184" t="s">
        <v>61</v>
      </c>
      <c r="M34" s="177" t="s">
        <v>1235</v>
      </c>
      <c r="N34" s="177" t="s">
        <v>1236</v>
      </c>
      <c r="O34"/>
      <c r="P34"/>
      <c r="Q34"/>
      <c r="R34"/>
    </row>
    <row r="35" spans="1:18" x14ac:dyDescent="0.35">
      <c r="A35" s="183" t="s">
        <v>1779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/>
      <c r="P35"/>
      <c r="Q35"/>
      <c r="R35"/>
    </row>
    <row r="36" spans="1:18" x14ac:dyDescent="0.35">
      <c r="A36" s="183" t="s">
        <v>2420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/>
      <c r="P36"/>
      <c r="Q36"/>
      <c r="R36"/>
    </row>
    <row r="37" spans="1:18" x14ac:dyDescent="0.35">
      <c r="A37" s="177" t="s">
        <v>1440</v>
      </c>
      <c r="B37" s="177" t="s">
        <v>1274</v>
      </c>
      <c r="C37" s="177" t="s">
        <v>2112</v>
      </c>
      <c r="D37" s="177" t="s">
        <v>1441</v>
      </c>
      <c r="E37" s="177"/>
      <c r="F37" s="177" t="s">
        <v>93</v>
      </c>
      <c r="G37" s="177">
        <v>30260</v>
      </c>
      <c r="H37" s="177"/>
      <c r="I37" s="177"/>
      <c r="J37" s="177"/>
      <c r="K37" s="177" t="s">
        <v>396</v>
      </c>
      <c r="L37" s="184" t="s">
        <v>61</v>
      </c>
      <c r="M37" s="177" t="s">
        <v>94</v>
      </c>
      <c r="N37" s="177"/>
      <c r="O37"/>
      <c r="P37"/>
      <c r="Q37"/>
      <c r="R37"/>
    </row>
    <row r="38" spans="1:18" x14ac:dyDescent="0.35">
      <c r="A38" s="177" t="s">
        <v>1443</v>
      </c>
      <c r="B38" s="177" t="s">
        <v>1274</v>
      </c>
      <c r="C38" s="177" t="s">
        <v>2112</v>
      </c>
      <c r="D38" s="177" t="s">
        <v>1444</v>
      </c>
      <c r="E38" s="177"/>
      <c r="F38" s="177" t="s">
        <v>93</v>
      </c>
      <c r="G38" s="177">
        <v>25992</v>
      </c>
      <c r="H38" s="177"/>
      <c r="I38" s="177"/>
      <c r="J38" s="177"/>
      <c r="K38" s="177" t="s">
        <v>596</v>
      </c>
      <c r="L38" s="186" t="s">
        <v>597</v>
      </c>
      <c r="M38" s="177" t="s">
        <v>94</v>
      </c>
      <c r="N38" s="177"/>
      <c r="O38"/>
      <c r="P38"/>
      <c r="Q38"/>
      <c r="R38"/>
    </row>
    <row r="39" spans="1:18" x14ac:dyDescent="0.35">
      <c r="A39" s="183" t="s">
        <v>2421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/>
      <c r="P39"/>
      <c r="Q39"/>
      <c r="R39"/>
    </row>
    <row r="40" spans="1:18" x14ac:dyDescent="0.35">
      <c r="A40" s="177" t="s">
        <v>1431</v>
      </c>
      <c r="B40" s="177" t="s">
        <v>1274</v>
      </c>
      <c r="C40" s="177" t="s">
        <v>2100</v>
      </c>
      <c r="D40" s="177" t="s">
        <v>1432</v>
      </c>
      <c r="E40" s="177"/>
      <c r="F40" s="177" t="s">
        <v>93</v>
      </c>
      <c r="G40" s="177">
        <v>24833</v>
      </c>
      <c r="H40" s="177"/>
      <c r="I40" s="177"/>
      <c r="J40" s="177"/>
      <c r="K40" s="177" t="s">
        <v>596</v>
      </c>
      <c r="L40" s="186" t="s">
        <v>597</v>
      </c>
      <c r="M40" s="177" t="s">
        <v>94</v>
      </c>
      <c r="N40" s="177"/>
      <c r="O40"/>
      <c r="P40"/>
      <c r="Q40"/>
      <c r="R40"/>
    </row>
    <row r="41" spans="1:18" x14ac:dyDescent="0.35">
      <c r="A41" s="183" t="s">
        <v>2380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/>
      <c r="P41"/>
      <c r="Q41"/>
      <c r="R41"/>
    </row>
    <row r="42" spans="1:18" x14ac:dyDescent="0.35">
      <c r="A42" s="177" t="s">
        <v>1423</v>
      </c>
      <c r="B42" s="177" t="s">
        <v>1274</v>
      </c>
      <c r="C42" s="177" t="s">
        <v>2107</v>
      </c>
      <c r="D42" s="177" t="s">
        <v>1424</v>
      </c>
      <c r="E42" s="177"/>
      <c r="F42" s="177" t="s">
        <v>93</v>
      </c>
      <c r="G42" s="177">
        <v>30261</v>
      </c>
      <c r="H42" s="177"/>
      <c r="I42" s="177"/>
      <c r="J42" s="177"/>
      <c r="K42" s="177" t="s">
        <v>396</v>
      </c>
      <c r="L42" s="184" t="s">
        <v>61</v>
      </c>
      <c r="M42" s="177" t="s">
        <v>94</v>
      </c>
      <c r="N42" s="177"/>
      <c r="O42"/>
      <c r="P42"/>
      <c r="Q42"/>
      <c r="R42"/>
    </row>
    <row r="43" spans="1:18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18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18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18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18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1:18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1:18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1:18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1:18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1:18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1:18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1:18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1:18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1:18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1:18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1:18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1:18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1:18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1:18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1:18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1:18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1:18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1:18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1:18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1:18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1:18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1:18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1:18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1:18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1:18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1:18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1:18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1:18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1:18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1:18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1:18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1:18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1:18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1:18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1:18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1:18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1:18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1:18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1:18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1:18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1:18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1:18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1:18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1:18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1:18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1:18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1:18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1:18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1:18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1:18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1:18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1:18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1:18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1:18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1:18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1:18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1:18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1:18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1:18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1:18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1:18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1:18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1:18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1:18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1:18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1:18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1:18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1:18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1:18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1:18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1:18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1:18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1:18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1:18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1:18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1:18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1:18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1:18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1:18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1:18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1:18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1:18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1:18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1:18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1:18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1:18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1:18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1:18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1:18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1:18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1:18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1:18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1:18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1:18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1:18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1:18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1:18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1:18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1:18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1:18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1:18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1:18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1</vt:i4>
      </vt:variant>
    </vt:vector>
  </HeadingPairs>
  <TitlesOfParts>
    <vt:vector size="30" baseType="lpstr">
      <vt:lpstr>📊 Dashboard</vt:lpstr>
      <vt:lpstr>BREVETS PAR PAYS DASHBOARD</vt:lpstr>
      <vt:lpstr>📋 Inventaire Complet</vt:lpstr>
      <vt:lpstr>📊 Synthèse Thématique</vt:lpstr>
      <vt:lpstr>🔬 Synthèse par Lab.</vt:lpstr>
      <vt:lpstr>🌍 Env. Tech &amp; Digital</vt:lpstr>
      <vt:lpstr>⚙️ Mineral Processing</vt:lpstr>
      <vt:lpstr>♻️ Circular Chemistry</vt:lpstr>
      <vt:lpstr>🌱 Green Agriculture</vt:lpstr>
      <vt:lpstr>⚡ Energy &amp; Storage</vt:lpstr>
      <vt:lpstr>🔬 MAScIR</vt:lpstr>
      <vt:lpstr>🔬 MSN</vt:lpstr>
      <vt:lpstr>🔬 CBS</vt:lpstr>
      <vt:lpstr>🔬 ACER CoE</vt:lpstr>
      <vt:lpstr>🔬 ASARI</vt:lpstr>
      <vt:lpstr>🔬 DICE</vt:lpstr>
      <vt:lpstr>🔬 GTI</vt:lpstr>
      <vt:lpstr>🔬 GSMI</vt:lpstr>
      <vt:lpstr>🔬 LIMSET</vt:lpstr>
      <vt:lpstr>🔬 TechCell</vt:lpstr>
      <vt:lpstr>🔬 ILO</vt:lpstr>
      <vt:lpstr>🔬 Al-Moutmir</vt:lpstr>
      <vt:lpstr>🔬 D4R</vt:lpstr>
      <vt:lpstr>🔬 HTMR</vt:lpstr>
      <vt:lpstr>🔬 CEPH</vt:lpstr>
      <vt:lpstr>🔬 ISTI</vt:lpstr>
      <vt:lpstr>🔬 COLCOM</vt:lpstr>
      <vt:lpstr>🔬 OCP | CERPHOS (historique)</vt:lpstr>
      <vt:lpstr>🔬 CERPHOS (historique)</vt:lpstr>
      <vt:lpstr>'📊 Dashboard'!Zone_d_impression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Imane EL ALAOUI HASSANI</cp:lastModifiedBy>
  <dcterms:created xsi:type="dcterms:W3CDTF">2026-05-12T12:55:23Z</dcterms:created>
  <dcterms:modified xsi:type="dcterms:W3CDTF">2026-07-13T09:35:22Z</dcterms:modified>
</cp:coreProperties>
</file>